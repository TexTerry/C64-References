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DieseArbeitsmappe" defaultThemeVersion="124226"/>
  <bookViews>
    <workbookView xWindow="120" yWindow="45" windowWidth="15480" windowHeight="10290"/>
  </bookViews>
  <sheets>
    <sheet name="Tabelle1" sheetId="1" r:id="rId1"/>
    <sheet name="Inst" sheetId="2" r:id="rId2"/>
    <sheet name="Tabelle3" sheetId="3" r:id="rId3"/>
  </sheets>
  <functionGroups/>
  <definedNames>
    <definedName name="_xlnm._FilterDatabase" localSheetId="1" hidden="1">Inst!$A$1:$P$71</definedName>
    <definedName name="_xlnm._FilterDatabase" localSheetId="0" hidden="1">Tabelle1!$A$1:$F$257</definedName>
  </definedNames>
  <calcPr calcId="125725"/>
</workbook>
</file>

<file path=xl/calcChain.xml><?xml version="1.0" encoding="utf-8"?>
<calcChain xmlns="http://schemas.openxmlformats.org/spreadsheetml/2006/main">
  <c r="B2" i="1"/>
  <c r="C2"/>
  <c r="H257"/>
  <c r="H256"/>
  <c r="H255"/>
  <c r="H254"/>
  <c r="H253"/>
  <c r="H252"/>
  <c r="H251"/>
  <c r="H250"/>
  <c r="H249"/>
  <c r="H248"/>
  <c r="H247"/>
  <c r="H246"/>
  <c r="H245"/>
  <c r="H244"/>
  <c r="H243"/>
  <c r="H242"/>
  <c r="H241"/>
  <c r="H240"/>
  <c r="H239"/>
  <c r="H238"/>
  <c r="H237"/>
  <c r="H236"/>
  <c r="H235"/>
  <c r="H234"/>
  <c r="H233"/>
  <c r="H232"/>
  <c r="H231"/>
  <c r="H230"/>
  <c r="H229"/>
  <c r="H228"/>
  <c r="H227"/>
  <c r="H226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184"/>
  <c r="H183"/>
  <c r="H182"/>
  <c r="H181"/>
  <c r="H180"/>
  <c r="H179"/>
  <c r="H178"/>
  <c r="H177"/>
  <c r="H176"/>
  <c r="H175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G257"/>
  <c r="G256"/>
  <c r="G255"/>
  <c r="G254"/>
  <c r="G253"/>
  <c r="G252"/>
  <c r="B71" i="2" s="1"/>
  <c r="G251" i="1"/>
  <c r="G250"/>
  <c r="B70" i="2" s="1"/>
  <c r="G249" i="1"/>
  <c r="G248"/>
  <c r="G247"/>
  <c r="G246"/>
  <c r="G245"/>
  <c r="G244"/>
  <c r="G243"/>
  <c r="G242"/>
  <c r="B69" i="2" s="1"/>
  <c r="G241" i="1"/>
  <c r="G240"/>
  <c r="G239"/>
  <c r="G238"/>
  <c r="G237"/>
  <c r="G236"/>
  <c r="G235"/>
  <c r="G234"/>
  <c r="B68" i="2" s="1"/>
  <c r="G233" i="1"/>
  <c r="G232"/>
  <c r="B67" i="2" s="1"/>
  <c r="G231" i="1"/>
  <c r="G230"/>
  <c r="G229"/>
  <c r="G228"/>
  <c r="G227"/>
  <c r="B66" i="2" s="1"/>
  <c r="G226" i="1"/>
  <c r="B65" i="2" s="1"/>
  <c r="G225" i="1"/>
  <c r="G224"/>
  <c r="G223"/>
  <c r="G222"/>
  <c r="G221"/>
  <c r="G220"/>
  <c r="B64" i="2" s="1"/>
  <c r="G219" i="1"/>
  <c r="G218"/>
  <c r="B63" i="2" s="1"/>
  <c r="G217" i="1"/>
  <c r="G216"/>
  <c r="G215"/>
  <c r="G214"/>
  <c r="G213"/>
  <c r="G212"/>
  <c r="G211"/>
  <c r="G210"/>
  <c r="B62" i="2" s="1"/>
  <c r="G209" i="1"/>
  <c r="G208"/>
  <c r="G207"/>
  <c r="G206"/>
  <c r="G205"/>
  <c r="G204"/>
  <c r="B61" i="2" s="1"/>
  <c r="G203" i="1"/>
  <c r="G202"/>
  <c r="B60" i="2" s="1"/>
  <c r="G201" i="1"/>
  <c r="G200"/>
  <c r="B59" i="2" s="1"/>
  <c r="G199" i="1"/>
  <c r="G198"/>
  <c r="G197"/>
  <c r="G196"/>
  <c r="G195"/>
  <c r="B58" i="2" s="1"/>
  <c r="G194" i="1"/>
  <c r="B57" i="2" s="1"/>
  <c r="G193" i="1"/>
  <c r="G192"/>
  <c r="G191"/>
  <c r="G190"/>
  <c r="G189"/>
  <c r="G188"/>
  <c r="B56" i="2" s="1"/>
  <c r="G187" i="1"/>
  <c r="G186"/>
  <c r="B55" i="2" s="1"/>
  <c r="G185" i="1"/>
  <c r="G184"/>
  <c r="G183"/>
  <c r="G182"/>
  <c r="G181"/>
  <c r="G180"/>
  <c r="G179"/>
  <c r="G178"/>
  <c r="B54" i="2" s="1"/>
  <c r="G177" i="1"/>
  <c r="G176"/>
  <c r="G175"/>
  <c r="G174"/>
  <c r="G173"/>
  <c r="G172"/>
  <c r="B53" i="2" s="1"/>
  <c r="G171" i="1"/>
  <c r="G170"/>
  <c r="B52" i="2" s="1"/>
  <c r="G169" i="1"/>
  <c r="G168"/>
  <c r="G167"/>
  <c r="G166"/>
  <c r="G165"/>
  <c r="G164"/>
  <c r="B51" i="2" s="1"/>
  <c r="G163" i="1"/>
  <c r="B50" i="2" s="1"/>
  <c r="G162" i="1"/>
  <c r="B49" i="2" s="1"/>
  <c r="G161" i="1"/>
  <c r="G160"/>
  <c r="G159"/>
  <c r="G158"/>
  <c r="G157"/>
  <c r="G156"/>
  <c r="B48" i="2" s="1"/>
  <c r="G155" i="1"/>
  <c r="G154"/>
  <c r="B47" i="2" s="1"/>
  <c r="G153" i="1"/>
  <c r="G152"/>
  <c r="G151"/>
  <c r="G150"/>
  <c r="G149"/>
  <c r="G148"/>
  <c r="G147"/>
  <c r="G146"/>
  <c r="B46" i="2" s="1"/>
  <c r="G145" i="1"/>
  <c r="G144"/>
  <c r="G143"/>
  <c r="G142"/>
  <c r="G141"/>
  <c r="G140"/>
  <c r="B45" i="2" s="1"/>
  <c r="G139" i="1"/>
  <c r="G138"/>
  <c r="B44" i="2" s="1"/>
  <c r="G137" i="1"/>
  <c r="G136"/>
  <c r="B43" i="2" s="1"/>
  <c r="G135" i="1"/>
  <c r="G134"/>
  <c r="B42" i="2" s="1"/>
  <c r="G133" i="1"/>
  <c r="G132"/>
  <c r="G131"/>
  <c r="B41" i="2" s="1"/>
  <c r="G130" i="1"/>
  <c r="B40" i="2" s="1"/>
  <c r="G129" i="1"/>
  <c r="G128"/>
  <c r="G127"/>
  <c r="G126"/>
  <c r="G125"/>
  <c r="G124"/>
  <c r="B39" i="2" s="1"/>
  <c r="G123" i="1"/>
  <c r="G122"/>
  <c r="B38" i="2" s="1"/>
  <c r="G121" i="1"/>
  <c r="G120"/>
  <c r="G119"/>
  <c r="G118"/>
  <c r="G117"/>
  <c r="G116"/>
  <c r="G115"/>
  <c r="G114"/>
  <c r="B37" i="2" s="1"/>
  <c r="G113" i="1"/>
  <c r="G112"/>
  <c r="G111"/>
  <c r="G110"/>
  <c r="G109"/>
  <c r="G108"/>
  <c r="B36" i="2" s="1"/>
  <c r="G107" i="1"/>
  <c r="G106"/>
  <c r="B35" i="2" s="1"/>
  <c r="G105" i="1"/>
  <c r="G104"/>
  <c r="B34" i="2" s="1"/>
  <c r="G103" i="1"/>
  <c r="G102"/>
  <c r="B33" i="2" s="1"/>
  <c r="G101" i="1"/>
  <c r="G100"/>
  <c r="G99"/>
  <c r="B32" i="2" s="1"/>
  <c r="G98" i="1"/>
  <c r="B31" i="2" s="1"/>
  <c r="G97" i="1"/>
  <c r="G96"/>
  <c r="G95"/>
  <c r="G94"/>
  <c r="G93"/>
  <c r="G92"/>
  <c r="B30" i="2" s="1"/>
  <c r="G91" i="1"/>
  <c r="G90"/>
  <c r="B29" i="2" s="1"/>
  <c r="G89" i="1"/>
  <c r="G88"/>
  <c r="G87"/>
  <c r="G86"/>
  <c r="G85"/>
  <c r="G84"/>
  <c r="G83"/>
  <c r="G82"/>
  <c r="B28" i="2" s="1"/>
  <c r="G81" i="1"/>
  <c r="G80"/>
  <c r="G79"/>
  <c r="G78"/>
  <c r="B27" i="2" s="1"/>
  <c r="G77" i="1"/>
  <c r="G76"/>
  <c r="B26" i="2" s="1"/>
  <c r="G75" i="1"/>
  <c r="G74"/>
  <c r="B25" i="2" s="1"/>
  <c r="G73" i="1"/>
  <c r="G72"/>
  <c r="B24" i="2" s="1"/>
  <c r="G71" i="1"/>
  <c r="G70"/>
  <c r="G69"/>
  <c r="G68"/>
  <c r="G67"/>
  <c r="B23" i="2" s="1"/>
  <c r="G66" i="1"/>
  <c r="B22" i="2" s="1"/>
  <c r="G65" i="1"/>
  <c r="G64"/>
  <c r="G63"/>
  <c r="G62"/>
  <c r="G61"/>
  <c r="G60"/>
  <c r="B21" i="2" s="1"/>
  <c r="G59" i="1"/>
  <c r="G58"/>
  <c r="B20" i="2" s="1"/>
  <c r="G57" i="1"/>
  <c r="G56"/>
  <c r="G55"/>
  <c r="G54"/>
  <c r="G53"/>
  <c r="G52"/>
  <c r="G51"/>
  <c r="G50"/>
  <c r="B19" i="2" s="1"/>
  <c r="G49" i="1"/>
  <c r="G48"/>
  <c r="G47"/>
  <c r="G46"/>
  <c r="G45"/>
  <c r="G44"/>
  <c r="B18" i="2" s="1"/>
  <c r="G43" i="1"/>
  <c r="G42"/>
  <c r="B17" i="2" s="1"/>
  <c r="G41" i="1"/>
  <c r="G40"/>
  <c r="B16" i="2" s="1"/>
  <c r="G39" i="1"/>
  <c r="G38"/>
  <c r="B15" i="2" s="1"/>
  <c r="G37" i="1"/>
  <c r="G36"/>
  <c r="G35"/>
  <c r="B14" i="2" s="1"/>
  <c r="G34" i="1"/>
  <c r="B13" i="2" s="1"/>
  <c r="G33" i="1"/>
  <c r="G32"/>
  <c r="G31"/>
  <c r="G30"/>
  <c r="G29"/>
  <c r="G28"/>
  <c r="B12" i="2" s="1"/>
  <c r="G27" i="1"/>
  <c r="G26"/>
  <c r="B11" i="2" s="1"/>
  <c r="G25" i="1"/>
  <c r="G24"/>
  <c r="G23"/>
  <c r="G22"/>
  <c r="B10" i="2" s="1"/>
  <c r="G21" i="1"/>
  <c r="G20"/>
  <c r="G19"/>
  <c r="G18"/>
  <c r="B9" i="2" s="1"/>
  <c r="G17" i="1"/>
  <c r="G16"/>
  <c r="G15"/>
  <c r="G14"/>
  <c r="G13"/>
  <c r="G12"/>
  <c r="B8" i="2" s="1"/>
  <c r="G11" i="1"/>
  <c r="G10"/>
  <c r="B7" i="2" s="1"/>
  <c r="G9" i="1"/>
  <c r="G8"/>
  <c r="B6" i="2" s="1"/>
  <c r="G7" i="1"/>
  <c r="G6"/>
  <c r="B5" i="2" s="1"/>
  <c r="G5" i="1"/>
  <c r="G4"/>
  <c r="B4" i="2" s="1"/>
  <c r="G3" i="1"/>
  <c r="B3" i="2" s="1"/>
  <c r="G2" i="1"/>
  <c r="B2" i="2" s="1"/>
  <c r="A3" i="1"/>
  <c r="M71" i="2" l="1"/>
  <c r="I71"/>
  <c r="E71"/>
  <c r="O70"/>
  <c r="K70"/>
  <c r="G70"/>
  <c r="C70"/>
  <c r="M69"/>
  <c r="I69"/>
  <c r="E69"/>
  <c r="O68"/>
  <c r="K68"/>
  <c r="G68"/>
  <c r="C68"/>
  <c r="M67"/>
  <c r="I67"/>
  <c r="E67"/>
  <c r="O66"/>
  <c r="K66"/>
  <c r="G66"/>
  <c r="C66"/>
  <c r="M65"/>
  <c r="I65"/>
  <c r="E65"/>
  <c r="O64"/>
  <c r="K64"/>
  <c r="G64"/>
  <c r="C64"/>
  <c r="M63"/>
  <c r="I63"/>
  <c r="E63"/>
  <c r="O62"/>
  <c r="K62"/>
  <c r="G62"/>
  <c r="C62"/>
  <c r="M61"/>
  <c r="I61"/>
  <c r="E61"/>
  <c r="O60"/>
  <c r="K60"/>
  <c r="G60"/>
  <c r="C60"/>
  <c r="M59"/>
  <c r="I59"/>
  <c r="E59"/>
  <c r="O58"/>
  <c r="K58"/>
  <c r="G58"/>
  <c r="C58"/>
  <c r="M57"/>
  <c r="I57"/>
  <c r="E57"/>
  <c r="O56"/>
  <c r="K56"/>
  <c r="G56"/>
  <c r="C56"/>
  <c r="M55"/>
  <c r="I55"/>
  <c r="E55"/>
  <c r="O54"/>
  <c r="K54"/>
  <c r="G54"/>
  <c r="C54"/>
  <c r="N71"/>
  <c r="J71"/>
  <c r="F71"/>
  <c r="P70"/>
  <c r="L70"/>
  <c r="H70"/>
  <c r="D70"/>
  <c r="N69"/>
  <c r="J69"/>
  <c r="F69"/>
  <c r="P68"/>
  <c r="L68"/>
  <c r="H68"/>
  <c r="D68"/>
  <c r="N67"/>
  <c r="J67"/>
  <c r="F67"/>
  <c r="P66"/>
  <c r="L66"/>
  <c r="H66"/>
  <c r="D66"/>
  <c r="N65"/>
  <c r="J65"/>
  <c r="F65"/>
  <c r="P64"/>
  <c r="L64"/>
  <c r="H64"/>
  <c r="D64"/>
  <c r="N63"/>
  <c r="J63"/>
  <c r="F63"/>
  <c r="P62"/>
  <c r="L62"/>
  <c r="H62"/>
  <c r="D62"/>
  <c r="N61"/>
  <c r="J61"/>
  <c r="F61"/>
  <c r="P60"/>
  <c r="L60"/>
  <c r="H60"/>
  <c r="D60"/>
  <c r="N59"/>
  <c r="J59"/>
  <c r="F59"/>
  <c r="P58"/>
  <c r="L58"/>
  <c r="H58"/>
  <c r="D58"/>
  <c r="N57"/>
  <c r="J57"/>
  <c r="F57"/>
  <c r="P56"/>
  <c r="L56"/>
  <c r="H56"/>
  <c r="D56"/>
  <c r="N55"/>
  <c r="J55"/>
  <c r="F55"/>
  <c r="P54"/>
  <c r="L54"/>
  <c r="H54"/>
  <c r="O71"/>
  <c r="K71"/>
  <c r="G71"/>
  <c r="C71"/>
  <c r="M70"/>
  <c r="I70"/>
  <c r="E70"/>
  <c r="O69"/>
  <c r="K69"/>
  <c r="G69"/>
  <c r="C69"/>
  <c r="M68"/>
  <c r="I68"/>
  <c r="E68"/>
  <c r="O67"/>
  <c r="K67"/>
  <c r="G67"/>
  <c r="C67"/>
  <c r="M66"/>
  <c r="I66"/>
  <c r="E66"/>
  <c r="O65"/>
  <c r="K65"/>
  <c r="G65"/>
  <c r="C65"/>
  <c r="M64"/>
  <c r="I64"/>
  <c r="E64"/>
  <c r="O63"/>
  <c r="K63"/>
  <c r="G63"/>
  <c r="C63"/>
  <c r="M62"/>
  <c r="I62"/>
  <c r="E62"/>
  <c r="O61"/>
  <c r="K61"/>
  <c r="G61"/>
  <c r="C61"/>
  <c r="M60"/>
  <c r="I60"/>
  <c r="E60"/>
  <c r="O59"/>
  <c r="K59"/>
  <c r="G59"/>
  <c r="C59"/>
  <c r="M58"/>
  <c r="I58"/>
  <c r="E58"/>
  <c r="O57"/>
  <c r="K57"/>
  <c r="G57"/>
  <c r="C57"/>
  <c r="M56"/>
  <c r="I56"/>
  <c r="E56"/>
  <c r="O55"/>
  <c r="K55"/>
  <c r="G55"/>
  <c r="C55"/>
  <c r="M54"/>
  <c r="I54"/>
  <c r="E54"/>
  <c r="O53"/>
  <c r="P71"/>
  <c r="L71"/>
  <c r="H71"/>
  <c r="D71"/>
  <c r="N70"/>
  <c r="J70"/>
  <c r="F70"/>
  <c r="P69"/>
  <c r="L69"/>
  <c r="H69"/>
  <c r="D69"/>
  <c r="N68"/>
  <c r="J68"/>
  <c r="F68"/>
  <c r="P67"/>
  <c r="L67"/>
  <c r="H67"/>
  <c r="D67"/>
  <c r="N66"/>
  <c r="J66"/>
  <c r="F66"/>
  <c r="P65"/>
  <c r="L65"/>
  <c r="H65"/>
  <c r="D65"/>
  <c r="N64"/>
  <c r="J64"/>
  <c r="F64"/>
  <c r="P63"/>
  <c r="L63"/>
  <c r="H63"/>
  <c r="D63"/>
  <c r="N62"/>
  <c r="J62"/>
  <c r="F62"/>
  <c r="P61"/>
  <c r="L61"/>
  <c r="H61"/>
  <c r="D61"/>
  <c r="N60"/>
  <c r="J60"/>
  <c r="F60"/>
  <c r="P59"/>
  <c r="L59"/>
  <c r="H59"/>
  <c r="D59"/>
  <c r="N58"/>
  <c r="J58"/>
  <c r="F58"/>
  <c r="P57"/>
  <c r="L57"/>
  <c r="H57"/>
  <c r="D57"/>
  <c r="N56"/>
  <c r="J56"/>
  <c r="F56"/>
  <c r="P55"/>
  <c r="L55"/>
  <c r="H55"/>
  <c r="D55"/>
  <c r="N54"/>
  <c r="J54"/>
  <c r="F54"/>
  <c r="P53"/>
  <c r="C2"/>
  <c r="G2"/>
  <c r="K2"/>
  <c r="O2"/>
  <c r="E3"/>
  <c r="I3"/>
  <c r="M3"/>
  <c r="C4"/>
  <c r="G4"/>
  <c r="K4"/>
  <c r="O4"/>
  <c r="E5"/>
  <c r="I5"/>
  <c r="M5"/>
  <c r="C6"/>
  <c r="G6"/>
  <c r="K6"/>
  <c r="O6"/>
  <c r="E7"/>
  <c r="I7"/>
  <c r="M7"/>
  <c r="C8"/>
  <c r="G8"/>
  <c r="K8"/>
  <c r="O8"/>
  <c r="E9"/>
  <c r="I9"/>
  <c r="M9"/>
  <c r="C10"/>
  <c r="G10"/>
  <c r="K10"/>
  <c r="O10"/>
  <c r="E11"/>
  <c r="I11"/>
  <c r="M11"/>
  <c r="C12"/>
  <c r="G12"/>
  <c r="K12"/>
  <c r="O12"/>
  <c r="E13"/>
  <c r="I13"/>
  <c r="M13"/>
  <c r="C14"/>
  <c r="G14"/>
  <c r="K14"/>
  <c r="O14"/>
  <c r="E15"/>
  <c r="I15"/>
  <c r="M15"/>
  <c r="C16"/>
  <c r="G16"/>
  <c r="K16"/>
  <c r="O16"/>
  <c r="E17"/>
  <c r="I17"/>
  <c r="M17"/>
  <c r="C18"/>
  <c r="G18"/>
  <c r="K18"/>
  <c r="O18"/>
  <c r="E19"/>
  <c r="I19"/>
  <c r="M19"/>
  <c r="C20"/>
  <c r="G20"/>
  <c r="K20"/>
  <c r="O20"/>
  <c r="E21"/>
  <c r="I21"/>
  <c r="M21"/>
  <c r="C22"/>
  <c r="G22"/>
  <c r="K22"/>
  <c r="O22"/>
  <c r="E23"/>
  <c r="I23"/>
  <c r="M23"/>
  <c r="C24"/>
  <c r="G24"/>
  <c r="K24"/>
  <c r="O24"/>
  <c r="E25"/>
  <c r="I25"/>
  <c r="M25"/>
  <c r="C26"/>
  <c r="G26"/>
  <c r="K26"/>
  <c r="O26"/>
  <c r="E27"/>
  <c r="I27"/>
  <c r="M27"/>
  <c r="C28"/>
  <c r="G28"/>
  <c r="K28"/>
  <c r="O28"/>
  <c r="E29"/>
  <c r="I29"/>
  <c r="M29"/>
  <c r="C30"/>
  <c r="G30"/>
  <c r="K30"/>
  <c r="O30"/>
  <c r="E31"/>
  <c r="I31"/>
  <c r="M31"/>
  <c r="C32"/>
  <c r="G32"/>
  <c r="K32"/>
  <c r="O32"/>
  <c r="E33"/>
  <c r="I33"/>
  <c r="M33"/>
  <c r="C34"/>
  <c r="G34"/>
  <c r="K34"/>
  <c r="O34"/>
  <c r="E35"/>
  <c r="I35"/>
  <c r="M35"/>
  <c r="C36"/>
  <c r="G36"/>
  <c r="K36"/>
  <c r="O36"/>
  <c r="E37"/>
  <c r="I37"/>
  <c r="M37"/>
  <c r="C38"/>
  <c r="G38"/>
  <c r="K38"/>
  <c r="O38"/>
  <c r="E39"/>
  <c r="I39"/>
  <c r="M39"/>
  <c r="C40"/>
  <c r="G40"/>
  <c r="K40"/>
  <c r="O40"/>
  <c r="E41"/>
  <c r="I41"/>
  <c r="M41"/>
  <c r="C42"/>
  <c r="G42"/>
  <c r="K42"/>
  <c r="O42"/>
  <c r="E43"/>
  <c r="I43"/>
  <c r="M43"/>
  <c r="C44"/>
  <c r="G44"/>
  <c r="K44"/>
  <c r="O44"/>
  <c r="E45"/>
  <c r="I45"/>
  <c r="M45"/>
  <c r="C46"/>
  <c r="G46"/>
  <c r="K46"/>
  <c r="O46"/>
  <c r="E47"/>
  <c r="I47"/>
  <c r="M47"/>
  <c r="C48"/>
  <c r="G48"/>
  <c r="K48"/>
  <c r="O48"/>
  <c r="E49"/>
  <c r="I49"/>
  <c r="M49"/>
  <c r="C50"/>
  <c r="G50"/>
  <c r="K50"/>
  <c r="O50"/>
  <c r="E51"/>
  <c r="I51"/>
  <c r="M51"/>
  <c r="C52"/>
  <c r="G52"/>
  <c r="K52"/>
  <c r="O52"/>
  <c r="E53"/>
  <c r="I53"/>
  <c r="M53"/>
  <c r="A4" i="1"/>
  <c r="C3"/>
  <c r="B3"/>
  <c r="F2" i="2"/>
  <c r="J2"/>
  <c r="N2"/>
  <c r="D3"/>
  <c r="H3"/>
  <c r="L3"/>
  <c r="P3"/>
  <c r="F4"/>
  <c r="J4"/>
  <c r="N4"/>
  <c r="D5"/>
  <c r="H5"/>
  <c r="L5"/>
  <c r="P5"/>
  <c r="F6"/>
  <c r="J6"/>
  <c r="N6"/>
  <c r="D7"/>
  <c r="H7"/>
  <c r="L7"/>
  <c r="P7"/>
  <c r="F8"/>
  <c r="J8"/>
  <c r="N8"/>
  <c r="D9"/>
  <c r="H9"/>
  <c r="L9"/>
  <c r="P9"/>
  <c r="F10"/>
  <c r="J10"/>
  <c r="N10"/>
  <c r="D11"/>
  <c r="H11"/>
  <c r="L11"/>
  <c r="P11"/>
  <c r="F12"/>
  <c r="J12"/>
  <c r="N12"/>
  <c r="D13"/>
  <c r="H13"/>
  <c r="L13"/>
  <c r="P13"/>
  <c r="F14"/>
  <c r="J14"/>
  <c r="N14"/>
  <c r="D15"/>
  <c r="H15"/>
  <c r="L15"/>
  <c r="P15"/>
  <c r="F16"/>
  <c r="J16"/>
  <c r="N16"/>
  <c r="D17"/>
  <c r="H17"/>
  <c r="L17"/>
  <c r="P17"/>
  <c r="F18"/>
  <c r="J18"/>
  <c r="N18"/>
  <c r="D19"/>
  <c r="H19"/>
  <c r="L19"/>
  <c r="P19"/>
  <c r="F20"/>
  <c r="J20"/>
  <c r="N20"/>
  <c r="D21"/>
  <c r="H21"/>
  <c r="L21"/>
  <c r="P21"/>
  <c r="F22"/>
  <c r="J22"/>
  <c r="N22"/>
  <c r="D23"/>
  <c r="H23"/>
  <c r="L23"/>
  <c r="P23"/>
  <c r="F24"/>
  <c r="J24"/>
  <c r="N24"/>
  <c r="D25"/>
  <c r="H25"/>
  <c r="L25"/>
  <c r="P25"/>
  <c r="F26"/>
  <c r="J26"/>
  <c r="N26"/>
  <c r="D27"/>
  <c r="H27"/>
  <c r="L27"/>
  <c r="P27"/>
  <c r="F28"/>
  <c r="J28"/>
  <c r="N28"/>
  <c r="D29"/>
  <c r="H29"/>
  <c r="L29"/>
  <c r="P29"/>
  <c r="F30"/>
  <c r="J30"/>
  <c r="N30"/>
  <c r="D31"/>
  <c r="H31"/>
  <c r="L31"/>
  <c r="P31"/>
  <c r="F32"/>
  <c r="J32"/>
  <c r="N32"/>
  <c r="D33"/>
  <c r="H33"/>
  <c r="L33"/>
  <c r="P33"/>
  <c r="F34"/>
  <c r="J34"/>
  <c r="N34"/>
  <c r="D35"/>
  <c r="H35"/>
  <c r="L35"/>
  <c r="P35"/>
  <c r="F36"/>
  <c r="J36"/>
  <c r="N36"/>
  <c r="D37"/>
  <c r="H37"/>
  <c r="L37"/>
  <c r="P37"/>
  <c r="F38"/>
  <c r="J38"/>
  <c r="N38"/>
  <c r="D39"/>
  <c r="H39"/>
  <c r="L39"/>
  <c r="P39"/>
  <c r="F40"/>
  <c r="J40"/>
  <c r="N40"/>
  <c r="D41"/>
  <c r="H41"/>
  <c r="L41"/>
  <c r="P41"/>
  <c r="F42"/>
  <c r="J42"/>
  <c r="N42"/>
  <c r="D43"/>
  <c r="H43"/>
  <c r="L43"/>
  <c r="P43"/>
  <c r="F44"/>
  <c r="J44"/>
  <c r="N44"/>
  <c r="D45"/>
  <c r="H45"/>
  <c r="L45"/>
  <c r="P45"/>
  <c r="F46"/>
  <c r="J46"/>
  <c r="N46"/>
  <c r="D47"/>
  <c r="H47"/>
  <c r="L47"/>
  <c r="P47"/>
  <c r="F48"/>
  <c r="J48"/>
  <c r="N48"/>
  <c r="D49"/>
  <c r="H49"/>
  <c r="L49"/>
  <c r="P49"/>
  <c r="F50"/>
  <c r="J50"/>
  <c r="N50"/>
  <c r="D51"/>
  <c r="H51"/>
  <c r="L51"/>
  <c r="P51"/>
  <c r="F52"/>
  <c r="J52"/>
  <c r="N52"/>
  <c r="D53"/>
  <c r="H53"/>
  <c r="L53"/>
  <c r="E2"/>
  <c r="I2"/>
  <c r="M2"/>
  <c r="C3"/>
  <c r="G3"/>
  <c r="K3"/>
  <c r="O3"/>
  <c r="E4"/>
  <c r="I4"/>
  <c r="M4"/>
  <c r="C5"/>
  <c r="G5"/>
  <c r="K5"/>
  <c r="O5"/>
  <c r="E6"/>
  <c r="I6"/>
  <c r="M6"/>
  <c r="C7"/>
  <c r="G7"/>
  <c r="K7"/>
  <c r="O7"/>
  <c r="E8"/>
  <c r="I8"/>
  <c r="M8"/>
  <c r="C9"/>
  <c r="G9"/>
  <c r="K9"/>
  <c r="O9"/>
  <c r="E10"/>
  <c r="I10"/>
  <c r="M10"/>
  <c r="C11"/>
  <c r="G11"/>
  <c r="K11"/>
  <c r="O11"/>
  <c r="E12"/>
  <c r="I12"/>
  <c r="M12"/>
  <c r="C13"/>
  <c r="G13"/>
  <c r="K13"/>
  <c r="O13"/>
  <c r="E14"/>
  <c r="I14"/>
  <c r="M14"/>
  <c r="C15"/>
  <c r="G15"/>
  <c r="K15"/>
  <c r="O15"/>
  <c r="E16"/>
  <c r="I16"/>
  <c r="M16"/>
  <c r="C17"/>
  <c r="G17"/>
  <c r="K17"/>
  <c r="O17"/>
  <c r="E18"/>
  <c r="I18"/>
  <c r="M18"/>
  <c r="C19"/>
  <c r="G19"/>
  <c r="K19"/>
  <c r="O19"/>
  <c r="E20"/>
  <c r="I20"/>
  <c r="M20"/>
  <c r="C21"/>
  <c r="G21"/>
  <c r="K21"/>
  <c r="O21"/>
  <c r="E22"/>
  <c r="I22"/>
  <c r="M22"/>
  <c r="C23"/>
  <c r="G23"/>
  <c r="K23"/>
  <c r="O23"/>
  <c r="E24"/>
  <c r="I24"/>
  <c r="M24"/>
  <c r="C25"/>
  <c r="G25"/>
  <c r="K25"/>
  <c r="O25"/>
  <c r="E26"/>
  <c r="I26"/>
  <c r="M26"/>
  <c r="C27"/>
  <c r="G27"/>
  <c r="K27"/>
  <c r="O27"/>
  <c r="E28"/>
  <c r="I28"/>
  <c r="M28"/>
  <c r="C29"/>
  <c r="G29"/>
  <c r="K29"/>
  <c r="O29"/>
  <c r="E30"/>
  <c r="I30"/>
  <c r="M30"/>
  <c r="C31"/>
  <c r="G31"/>
  <c r="K31"/>
  <c r="O31"/>
  <c r="E32"/>
  <c r="I32"/>
  <c r="M32"/>
  <c r="C33"/>
  <c r="G33"/>
  <c r="K33"/>
  <c r="O33"/>
  <c r="E34"/>
  <c r="I34"/>
  <c r="M34"/>
  <c r="C35"/>
  <c r="G35"/>
  <c r="K35"/>
  <c r="O35"/>
  <c r="E36"/>
  <c r="I36"/>
  <c r="M36"/>
  <c r="C37"/>
  <c r="G37"/>
  <c r="K37"/>
  <c r="O37"/>
  <c r="E38"/>
  <c r="I38"/>
  <c r="M38"/>
  <c r="C39"/>
  <c r="G39"/>
  <c r="K39"/>
  <c r="O39"/>
  <c r="E40"/>
  <c r="I40"/>
  <c r="M40"/>
  <c r="C41"/>
  <c r="G41"/>
  <c r="K41"/>
  <c r="O41"/>
  <c r="E42"/>
  <c r="I42"/>
  <c r="M42"/>
  <c r="C43"/>
  <c r="G43"/>
  <c r="K43"/>
  <c r="O43"/>
  <c r="E44"/>
  <c r="I44"/>
  <c r="M44"/>
  <c r="C45"/>
  <c r="G45"/>
  <c r="K45"/>
  <c r="O45"/>
  <c r="E46"/>
  <c r="I46"/>
  <c r="M46"/>
  <c r="C47"/>
  <c r="G47"/>
  <c r="K47"/>
  <c r="O47"/>
  <c r="E48"/>
  <c r="I48"/>
  <c r="M48"/>
  <c r="C49"/>
  <c r="G49"/>
  <c r="K49"/>
  <c r="O49"/>
  <c r="E50"/>
  <c r="I50"/>
  <c r="M50"/>
  <c r="C51"/>
  <c r="G51"/>
  <c r="K51"/>
  <c r="O51"/>
  <c r="E52"/>
  <c r="I52"/>
  <c r="M52"/>
  <c r="C53"/>
  <c r="G53"/>
  <c r="K53"/>
  <c r="D54"/>
  <c r="D2"/>
  <c r="H2"/>
  <c r="L2"/>
  <c r="P2"/>
  <c r="F3"/>
  <c r="J3"/>
  <c r="N3"/>
  <c r="D4"/>
  <c r="H4"/>
  <c r="L4"/>
  <c r="P4"/>
  <c r="F5"/>
  <c r="J5"/>
  <c r="N5"/>
  <c r="D6"/>
  <c r="H6"/>
  <c r="L6"/>
  <c r="P6"/>
  <c r="F7"/>
  <c r="J7"/>
  <c r="N7"/>
  <c r="D8"/>
  <c r="H8"/>
  <c r="L8"/>
  <c r="P8"/>
  <c r="F9"/>
  <c r="J9"/>
  <c r="N9"/>
  <c r="D10"/>
  <c r="H10"/>
  <c r="L10"/>
  <c r="P10"/>
  <c r="F11"/>
  <c r="J11"/>
  <c r="N11"/>
  <c r="D12"/>
  <c r="H12"/>
  <c r="L12"/>
  <c r="P12"/>
  <c r="F13"/>
  <c r="J13"/>
  <c r="N13"/>
  <c r="D14"/>
  <c r="H14"/>
  <c r="L14"/>
  <c r="P14"/>
  <c r="F15"/>
  <c r="J15"/>
  <c r="N15"/>
  <c r="D16"/>
  <c r="H16"/>
  <c r="L16"/>
  <c r="P16"/>
  <c r="F17"/>
  <c r="J17"/>
  <c r="N17"/>
  <c r="D18"/>
  <c r="H18"/>
  <c r="L18"/>
  <c r="P18"/>
  <c r="F19"/>
  <c r="J19"/>
  <c r="N19"/>
  <c r="D20"/>
  <c r="H20"/>
  <c r="L20"/>
  <c r="P20"/>
  <c r="F21"/>
  <c r="J21"/>
  <c r="N21"/>
  <c r="D22"/>
  <c r="H22"/>
  <c r="L22"/>
  <c r="P22"/>
  <c r="F23"/>
  <c r="J23"/>
  <c r="N23"/>
  <c r="D24"/>
  <c r="H24"/>
  <c r="L24"/>
  <c r="P24"/>
  <c r="F25"/>
  <c r="J25"/>
  <c r="N25"/>
  <c r="D26"/>
  <c r="H26"/>
  <c r="L26"/>
  <c r="P26"/>
  <c r="F27"/>
  <c r="J27"/>
  <c r="N27"/>
  <c r="D28"/>
  <c r="H28"/>
  <c r="L28"/>
  <c r="P28"/>
  <c r="F29"/>
  <c r="J29"/>
  <c r="N29"/>
  <c r="D30"/>
  <c r="H30"/>
  <c r="L30"/>
  <c r="P30"/>
  <c r="F31"/>
  <c r="J31"/>
  <c r="N31"/>
  <c r="D32"/>
  <c r="H32"/>
  <c r="L32"/>
  <c r="P32"/>
  <c r="F33"/>
  <c r="J33"/>
  <c r="N33"/>
  <c r="D34"/>
  <c r="H34"/>
  <c r="L34"/>
  <c r="P34"/>
  <c r="F35"/>
  <c r="J35"/>
  <c r="N35"/>
  <c r="D36"/>
  <c r="H36"/>
  <c r="L36"/>
  <c r="P36"/>
  <c r="F37"/>
  <c r="J37"/>
  <c r="N37"/>
  <c r="D38"/>
  <c r="H38"/>
  <c r="L38"/>
  <c r="P38"/>
  <c r="F39"/>
  <c r="J39"/>
  <c r="N39"/>
  <c r="D40"/>
  <c r="H40"/>
  <c r="L40"/>
  <c r="P40"/>
  <c r="F41"/>
  <c r="J41"/>
  <c r="N41"/>
  <c r="D42"/>
  <c r="H42"/>
  <c r="L42"/>
  <c r="P42"/>
  <c r="F43"/>
  <c r="J43"/>
  <c r="N43"/>
  <c r="D44"/>
  <c r="H44"/>
  <c r="L44"/>
  <c r="P44"/>
  <c r="F45"/>
  <c r="J45"/>
  <c r="N45"/>
  <c r="D46"/>
  <c r="H46"/>
  <c r="L46"/>
  <c r="P46"/>
  <c r="F47"/>
  <c r="J47"/>
  <c r="N47"/>
  <c r="D48"/>
  <c r="H48"/>
  <c r="L48"/>
  <c r="P48"/>
  <c r="F49"/>
  <c r="J49"/>
  <c r="N49"/>
  <c r="D50"/>
  <c r="H50"/>
  <c r="L50"/>
  <c r="P50"/>
  <c r="F51"/>
  <c r="J51"/>
  <c r="N51"/>
  <c r="D52"/>
  <c r="H52"/>
  <c r="L52"/>
  <c r="P52"/>
  <c r="F53"/>
  <c r="J53"/>
  <c r="N53"/>
  <c r="A5" i="1" l="1"/>
  <c r="C4"/>
  <c r="B4"/>
  <c r="A6" l="1"/>
  <c r="C5"/>
  <c r="B5"/>
  <c r="A7" l="1"/>
  <c r="C6"/>
  <c r="B6"/>
  <c r="A8" l="1"/>
  <c r="C7"/>
  <c r="B7"/>
  <c r="A9" l="1"/>
  <c r="C8"/>
  <c r="B8"/>
  <c r="A10" l="1"/>
  <c r="C9"/>
  <c r="B9"/>
  <c r="A11" l="1"/>
  <c r="C10"/>
  <c r="B10"/>
  <c r="A12" l="1"/>
  <c r="C11"/>
  <c r="B11"/>
  <c r="A13" l="1"/>
  <c r="C12"/>
  <c r="B12"/>
  <c r="A14" l="1"/>
  <c r="C13"/>
  <c r="B13"/>
  <c r="A15" l="1"/>
  <c r="C14"/>
  <c r="B14"/>
  <c r="A16" l="1"/>
  <c r="C15"/>
  <c r="B15"/>
  <c r="A17" l="1"/>
  <c r="C16"/>
  <c r="B16"/>
  <c r="A18" l="1"/>
  <c r="C17"/>
  <c r="B17"/>
  <c r="A19" l="1"/>
  <c r="C18"/>
  <c r="B18"/>
  <c r="A20" l="1"/>
  <c r="C19"/>
  <c r="B19"/>
  <c r="A21" l="1"/>
  <c r="C20"/>
  <c r="B20"/>
  <c r="A22" l="1"/>
  <c r="C21"/>
  <c r="B21"/>
  <c r="A23" l="1"/>
  <c r="C22"/>
  <c r="B22"/>
  <c r="A24" l="1"/>
  <c r="C23"/>
  <c r="B23"/>
  <c r="A25" l="1"/>
  <c r="C24"/>
  <c r="B24"/>
  <c r="A26" l="1"/>
  <c r="C25"/>
  <c r="B25"/>
  <c r="A27" l="1"/>
  <c r="C26"/>
  <c r="B26"/>
  <c r="A28" l="1"/>
  <c r="C27"/>
  <c r="B27"/>
  <c r="A29" l="1"/>
  <c r="C28"/>
  <c r="B28"/>
  <c r="A30" l="1"/>
  <c r="C29"/>
  <c r="B29"/>
  <c r="A31" l="1"/>
  <c r="C30"/>
  <c r="B30"/>
  <c r="A32" l="1"/>
  <c r="C31"/>
  <c r="B31"/>
  <c r="A33" l="1"/>
  <c r="C32"/>
  <c r="B32"/>
  <c r="A34" l="1"/>
  <c r="C33"/>
  <c r="B33"/>
  <c r="A35" l="1"/>
  <c r="C34"/>
  <c r="B34"/>
  <c r="A36" l="1"/>
  <c r="C35"/>
  <c r="B35"/>
  <c r="A37" l="1"/>
  <c r="C36"/>
  <c r="B36"/>
  <c r="A38" l="1"/>
  <c r="C37"/>
  <c r="B37"/>
  <c r="A39" l="1"/>
  <c r="C38"/>
  <c r="B38"/>
  <c r="A40" l="1"/>
  <c r="C39"/>
  <c r="B39"/>
  <c r="A41" l="1"/>
  <c r="C40"/>
  <c r="B40"/>
  <c r="A42" l="1"/>
  <c r="C41"/>
  <c r="B41"/>
  <c r="A43" l="1"/>
  <c r="C42"/>
  <c r="B42"/>
  <c r="A44" l="1"/>
  <c r="C43"/>
  <c r="B43"/>
  <c r="A45" l="1"/>
  <c r="C44"/>
  <c r="B44"/>
  <c r="A46" l="1"/>
  <c r="C45"/>
  <c r="B45"/>
  <c r="A47" l="1"/>
  <c r="C46"/>
  <c r="B46"/>
  <c r="A48" l="1"/>
  <c r="C47"/>
  <c r="B47"/>
  <c r="A49" l="1"/>
  <c r="C48"/>
  <c r="B48"/>
  <c r="A50" l="1"/>
  <c r="C49"/>
  <c r="B49"/>
  <c r="A51" l="1"/>
  <c r="C50"/>
  <c r="B50"/>
  <c r="A52" l="1"/>
  <c r="C51"/>
  <c r="B51"/>
  <c r="A53" l="1"/>
  <c r="C52"/>
  <c r="B52"/>
  <c r="A54" l="1"/>
  <c r="C53"/>
  <c r="B53"/>
  <c r="A55" l="1"/>
  <c r="C54"/>
  <c r="B54"/>
  <c r="A56" l="1"/>
  <c r="C55"/>
  <c r="B55"/>
  <c r="A57" l="1"/>
  <c r="C56"/>
  <c r="B56"/>
  <c r="A58" l="1"/>
  <c r="C57"/>
  <c r="B57"/>
  <c r="A59" l="1"/>
  <c r="C58"/>
  <c r="B58"/>
  <c r="A60" l="1"/>
  <c r="C59"/>
  <c r="B59"/>
  <c r="A61" l="1"/>
  <c r="C60"/>
  <c r="B60"/>
  <c r="A62" l="1"/>
  <c r="C61"/>
  <c r="B61"/>
  <c r="A63" l="1"/>
  <c r="C62"/>
  <c r="B62"/>
  <c r="A64" l="1"/>
  <c r="C63"/>
  <c r="B63"/>
  <c r="A65" l="1"/>
  <c r="C64"/>
  <c r="B64"/>
  <c r="A66" l="1"/>
  <c r="C65"/>
  <c r="B65"/>
  <c r="A67" l="1"/>
  <c r="C66"/>
  <c r="B66"/>
  <c r="A68" l="1"/>
  <c r="C67"/>
  <c r="B67"/>
  <c r="A69" l="1"/>
  <c r="C68"/>
  <c r="B68"/>
  <c r="A70" l="1"/>
  <c r="C69"/>
  <c r="B69"/>
  <c r="A71" l="1"/>
  <c r="C70"/>
  <c r="B70"/>
  <c r="A72" l="1"/>
  <c r="C71"/>
  <c r="B71"/>
  <c r="A73" l="1"/>
  <c r="C72"/>
  <c r="B72"/>
  <c r="A74" l="1"/>
  <c r="C73"/>
  <c r="B73"/>
  <c r="A75" l="1"/>
  <c r="C74"/>
  <c r="B74"/>
  <c r="A76" l="1"/>
  <c r="C75"/>
  <c r="B75"/>
  <c r="A77" l="1"/>
  <c r="C76"/>
  <c r="B76"/>
  <c r="A78" l="1"/>
  <c r="C77"/>
  <c r="B77"/>
  <c r="A79" l="1"/>
  <c r="C78"/>
  <c r="B78"/>
  <c r="A80" l="1"/>
  <c r="C79"/>
  <c r="B79"/>
  <c r="A81" l="1"/>
  <c r="C80"/>
  <c r="B80"/>
  <c r="A82" l="1"/>
  <c r="C81"/>
  <c r="B81"/>
  <c r="A83" l="1"/>
  <c r="C82"/>
  <c r="B82"/>
  <c r="A84" l="1"/>
  <c r="C83"/>
  <c r="B83"/>
  <c r="A85" l="1"/>
  <c r="C84"/>
  <c r="B84"/>
  <c r="A86" l="1"/>
  <c r="C85"/>
  <c r="B85"/>
  <c r="A87" l="1"/>
  <c r="C86"/>
  <c r="B86"/>
  <c r="A88" l="1"/>
  <c r="C87"/>
  <c r="B87"/>
  <c r="A89" l="1"/>
  <c r="C88"/>
  <c r="B88"/>
  <c r="A90" l="1"/>
  <c r="C89"/>
  <c r="B89"/>
  <c r="A91" l="1"/>
  <c r="C90"/>
  <c r="B90"/>
  <c r="A92" l="1"/>
  <c r="C91"/>
  <c r="B91"/>
  <c r="A93" l="1"/>
  <c r="C92"/>
  <c r="B92"/>
  <c r="A94" l="1"/>
  <c r="C93"/>
  <c r="B93"/>
  <c r="A95" l="1"/>
  <c r="C94"/>
  <c r="B94"/>
  <c r="A96" l="1"/>
  <c r="C95"/>
  <c r="B95"/>
  <c r="A97" l="1"/>
  <c r="C96"/>
  <c r="B96"/>
  <c r="A98" l="1"/>
  <c r="C97"/>
  <c r="B97"/>
  <c r="A99" l="1"/>
  <c r="C98"/>
  <c r="B98"/>
  <c r="A100" l="1"/>
  <c r="C99"/>
  <c r="B99"/>
  <c r="A101" l="1"/>
  <c r="C100"/>
  <c r="B100"/>
  <c r="A102" l="1"/>
  <c r="C101"/>
  <c r="B101"/>
  <c r="A103" l="1"/>
  <c r="C102"/>
  <c r="B102"/>
  <c r="A104" l="1"/>
  <c r="C103"/>
  <c r="B103"/>
  <c r="A105" l="1"/>
  <c r="C104"/>
  <c r="B104"/>
  <c r="A106" l="1"/>
  <c r="C105"/>
  <c r="B105"/>
  <c r="A107" l="1"/>
  <c r="C106"/>
  <c r="B106"/>
  <c r="A108" l="1"/>
  <c r="C107"/>
  <c r="B107"/>
  <c r="A109" l="1"/>
  <c r="C108"/>
  <c r="B108"/>
  <c r="A110" l="1"/>
  <c r="C109"/>
  <c r="B109"/>
  <c r="A111" l="1"/>
  <c r="C110"/>
  <c r="B110"/>
  <c r="A112" l="1"/>
  <c r="C111"/>
  <c r="B111"/>
  <c r="A113" l="1"/>
  <c r="C112"/>
  <c r="B112"/>
  <c r="A114" l="1"/>
  <c r="C113"/>
  <c r="B113"/>
  <c r="A115" l="1"/>
  <c r="C114"/>
  <c r="B114"/>
  <c r="A116" l="1"/>
  <c r="C115"/>
  <c r="B115"/>
  <c r="A117" l="1"/>
  <c r="C116"/>
  <c r="B116"/>
  <c r="A118" l="1"/>
  <c r="C117"/>
  <c r="B117"/>
  <c r="A119" l="1"/>
  <c r="C118"/>
  <c r="B118"/>
  <c r="A120" l="1"/>
  <c r="C119"/>
  <c r="B119"/>
  <c r="A121" l="1"/>
  <c r="C120"/>
  <c r="B120"/>
  <c r="A122" l="1"/>
  <c r="C121"/>
  <c r="B121"/>
  <c r="A123" l="1"/>
  <c r="C122"/>
  <c r="B122"/>
  <c r="A124" l="1"/>
  <c r="C123"/>
  <c r="B123"/>
  <c r="A125" l="1"/>
  <c r="C124"/>
  <c r="B124"/>
  <c r="A126" l="1"/>
  <c r="C125"/>
  <c r="B125"/>
  <c r="A127" l="1"/>
  <c r="C126"/>
  <c r="B126"/>
  <c r="A128" l="1"/>
  <c r="C127"/>
  <c r="B127"/>
  <c r="A129" l="1"/>
  <c r="C128"/>
  <c r="B128"/>
  <c r="A130" l="1"/>
  <c r="C129"/>
  <c r="B129"/>
  <c r="A131" l="1"/>
  <c r="C130"/>
  <c r="B130"/>
  <c r="A132" l="1"/>
  <c r="C131"/>
  <c r="B131"/>
  <c r="A133" l="1"/>
  <c r="C132"/>
  <c r="B132"/>
  <c r="A134" l="1"/>
  <c r="C133"/>
  <c r="B133"/>
  <c r="A135" l="1"/>
  <c r="C134"/>
  <c r="B134"/>
  <c r="A136" l="1"/>
  <c r="C135"/>
  <c r="B135"/>
  <c r="A137" l="1"/>
  <c r="C136"/>
  <c r="B136"/>
  <c r="A138" l="1"/>
  <c r="C137"/>
  <c r="B137"/>
  <c r="A139" l="1"/>
  <c r="C138"/>
  <c r="B138"/>
  <c r="A140" l="1"/>
  <c r="C139"/>
  <c r="B139"/>
  <c r="A141" l="1"/>
  <c r="C140"/>
  <c r="B140"/>
  <c r="A142" l="1"/>
  <c r="C141"/>
  <c r="B141"/>
  <c r="A143" l="1"/>
  <c r="C142"/>
  <c r="B142"/>
  <c r="A144" l="1"/>
  <c r="C143"/>
  <c r="B143"/>
  <c r="A145" l="1"/>
  <c r="C144"/>
  <c r="B144"/>
  <c r="A146" l="1"/>
  <c r="C145"/>
  <c r="B145"/>
  <c r="A147" l="1"/>
  <c r="C146"/>
  <c r="B146"/>
  <c r="A148" l="1"/>
  <c r="C147"/>
  <c r="B147"/>
  <c r="A149" l="1"/>
  <c r="C148"/>
  <c r="B148"/>
  <c r="A150" l="1"/>
  <c r="C149"/>
  <c r="B149"/>
  <c r="A151" l="1"/>
  <c r="C150"/>
  <c r="B150"/>
  <c r="A152" l="1"/>
  <c r="C151"/>
  <c r="B151"/>
  <c r="A153" l="1"/>
  <c r="C152"/>
  <c r="B152"/>
  <c r="A154" l="1"/>
  <c r="C153"/>
  <c r="B153"/>
  <c r="A155" l="1"/>
  <c r="C154"/>
  <c r="B154"/>
  <c r="A156" l="1"/>
  <c r="C155"/>
  <c r="B155"/>
  <c r="A157" l="1"/>
  <c r="C156"/>
  <c r="B156"/>
  <c r="A158" l="1"/>
  <c r="C157"/>
  <c r="B157"/>
  <c r="A159" l="1"/>
  <c r="C158"/>
  <c r="B158"/>
  <c r="A160" l="1"/>
  <c r="C159"/>
  <c r="B159"/>
  <c r="A161" l="1"/>
  <c r="C160"/>
  <c r="B160"/>
  <c r="A162" l="1"/>
  <c r="C161"/>
  <c r="B161"/>
  <c r="A163" l="1"/>
  <c r="C162"/>
  <c r="B162"/>
  <c r="A164" l="1"/>
  <c r="C163"/>
  <c r="B163"/>
  <c r="A165" l="1"/>
  <c r="C164"/>
  <c r="B164"/>
  <c r="A166" l="1"/>
  <c r="C165"/>
  <c r="B165"/>
  <c r="A167" l="1"/>
  <c r="C166"/>
  <c r="B166"/>
  <c r="A168" l="1"/>
  <c r="C167"/>
  <c r="B167"/>
  <c r="A169" l="1"/>
  <c r="C168"/>
  <c r="B168"/>
  <c r="A170" l="1"/>
  <c r="C169"/>
  <c r="B169"/>
  <c r="A171" l="1"/>
  <c r="C170"/>
  <c r="B170"/>
  <c r="A172" l="1"/>
  <c r="C171"/>
  <c r="B171"/>
  <c r="A173" l="1"/>
  <c r="C172"/>
  <c r="B172"/>
  <c r="A174" l="1"/>
  <c r="C173"/>
  <c r="B173"/>
  <c r="A175" l="1"/>
  <c r="C174"/>
  <c r="B174"/>
  <c r="A176" l="1"/>
  <c r="C175"/>
  <c r="B175"/>
  <c r="A177" l="1"/>
  <c r="C176"/>
  <c r="B176"/>
  <c r="A178" l="1"/>
  <c r="C177"/>
  <c r="B177"/>
  <c r="A179" l="1"/>
  <c r="C178"/>
  <c r="B178"/>
  <c r="A180" l="1"/>
  <c r="C179"/>
  <c r="B179"/>
  <c r="A181" l="1"/>
  <c r="C180"/>
  <c r="B180"/>
  <c r="A182" l="1"/>
  <c r="C181"/>
  <c r="B181"/>
  <c r="A183" l="1"/>
  <c r="C182"/>
  <c r="B182"/>
  <c r="A184" l="1"/>
  <c r="C183"/>
  <c r="B183"/>
  <c r="A185" l="1"/>
  <c r="C184"/>
  <c r="B184"/>
  <c r="A186" l="1"/>
  <c r="C185"/>
  <c r="B185"/>
  <c r="A187" l="1"/>
  <c r="C186"/>
  <c r="B186"/>
  <c r="A188" l="1"/>
  <c r="C187"/>
  <c r="B187"/>
  <c r="A189" l="1"/>
  <c r="C188"/>
  <c r="B188"/>
  <c r="A190" l="1"/>
  <c r="C189"/>
  <c r="B189"/>
  <c r="A191" l="1"/>
  <c r="C190"/>
  <c r="B190"/>
  <c r="A192" l="1"/>
  <c r="C191"/>
  <c r="B191"/>
  <c r="A193" l="1"/>
  <c r="C192"/>
  <c r="B192"/>
  <c r="A194" l="1"/>
  <c r="C193"/>
  <c r="B193"/>
  <c r="A195" l="1"/>
  <c r="C194"/>
  <c r="B194"/>
  <c r="A196" l="1"/>
  <c r="C195"/>
  <c r="B195"/>
  <c r="A197" l="1"/>
  <c r="C196"/>
  <c r="B196"/>
  <c r="A198" l="1"/>
  <c r="C197"/>
  <c r="B197"/>
  <c r="A199" l="1"/>
  <c r="C198"/>
  <c r="B198"/>
  <c r="A200" l="1"/>
  <c r="C199"/>
  <c r="B199"/>
  <c r="A201" l="1"/>
  <c r="C200"/>
  <c r="B200"/>
  <c r="A202" l="1"/>
  <c r="C201"/>
  <c r="B201"/>
  <c r="A203" l="1"/>
  <c r="C202"/>
  <c r="B202"/>
  <c r="A204" l="1"/>
  <c r="C203"/>
  <c r="B203"/>
  <c r="A205" l="1"/>
  <c r="C204"/>
  <c r="B204"/>
  <c r="A206" l="1"/>
  <c r="C205"/>
  <c r="B205"/>
  <c r="A207" l="1"/>
  <c r="C206"/>
  <c r="B206"/>
  <c r="A208" l="1"/>
  <c r="C207"/>
  <c r="B207"/>
  <c r="A209" l="1"/>
  <c r="C208"/>
  <c r="B208"/>
  <c r="A210" l="1"/>
  <c r="C209"/>
  <c r="B209"/>
  <c r="A211" l="1"/>
  <c r="C210"/>
  <c r="B210"/>
  <c r="A212" l="1"/>
  <c r="C211"/>
  <c r="B211"/>
  <c r="A213" l="1"/>
  <c r="C212"/>
  <c r="B212"/>
  <c r="A214" l="1"/>
  <c r="C213"/>
  <c r="B213"/>
  <c r="A215" l="1"/>
  <c r="C214"/>
  <c r="B214"/>
  <c r="A216" l="1"/>
  <c r="C215"/>
  <c r="B215"/>
  <c r="A217" l="1"/>
  <c r="C216"/>
  <c r="B216"/>
  <c r="A218" l="1"/>
  <c r="C217"/>
  <c r="B217"/>
  <c r="A219" l="1"/>
  <c r="C218"/>
  <c r="B218"/>
  <c r="A220" l="1"/>
  <c r="C219"/>
  <c r="B219"/>
  <c r="A221" l="1"/>
  <c r="C220"/>
  <c r="B220"/>
  <c r="A222" l="1"/>
  <c r="C221"/>
  <c r="B221"/>
  <c r="A223" l="1"/>
  <c r="C222"/>
  <c r="B222"/>
  <c r="A224" l="1"/>
  <c r="C223"/>
  <c r="B223"/>
  <c r="A225" l="1"/>
  <c r="C224"/>
  <c r="B224"/>
  <c r="A226" l="1"/>
  <c r="C225"/>
  <c r="B225"/>
  <c r="A227" l="1"/>
  <c r="C226"/>
  <c r="B226"/>
  <c r="A228" l="1"/>
  <c r="C227"/>
  <c r="B227"/>
  <c r="A229" l="1"/>
  <c r="C228"/>
  <c r="B228"/>
  <c r="A230" l="1"/>
  <c r="C229"/>
  <c r="B229"/>
  <c r="A231" l="1"/>
  <c r="C230"/>
  <c r="B230"/>
  <c r="A232" l="1"/>
  <c r="C231"/>
  <c r="B231"/>
  <c r="A233" l="1"/>
  <c r="C232"/>
  <c r="B232"/>
  <c r="A234" l="1"/>
  <c r="C233"/>
  <c r="B233"/>
  <c r="A235" l="1"/>
  <c r="C234"/>
  <c r="B234"/>
  <c r="A236" l="1"/>
  <c r="C235"/>
  <c r="B235"/>
  <c r="A237" l="1"/>
  <c r="C236"/>
  <c r="B236"/>
  <c r="A238" l="1"/>
  <c r="C237"/>
  <c r="B237"/>
  <c r="A239" l="1"/>
  <c r="C238"/>
  <c r="B238"/>
  <c r="A240" l="1"/>
  <c r="C239"/>
  <c r="B239"/>
  <c r="A241" l="1"/>
  <c r="C240"/>
  <c r="B240"/>
  <c r="A242" l="1"/>
  <c r="C241"/>
  <c r="B241"/>
  <c r="A243" l="1"/>
  <c r="C242"/>
  <c r="B242"/>
  <c r="A244" l="1"/>
  <c r="C243"/>
  <c r="B243"/>
  <c r="A245" l="1"/>
  <c r="C244"/>
  <c r="B244"/>
  <c r="A246" l="1"/>
  <c r="C245"/>
  <c r="B245"/>
  <c r="A247" l="1"/>
  <c r="C246"/>
  <c r="B246"/>
  <c r="A248" l="1"/>
  <c r="C247"/>
  <c r="B247"/>
  <c r="A249" l="1"/>
  <c r="C248"/>
  <c r="B248"/>
  <c r="A250" l="1"/>
  <c r="C249"/>
  <c r="B249"/>
  <c r="A251" l="1"/>
  <c r="C250"/>
  <c r="B250"/>
  <c r="A252" l="1"/>
  <c r="C251"/>
  <c r="B251"/>
  <c r="A253" l="1"/>
  <c r="C252"/>
  <c r="B252"/>
  <c r="A254" l="1"/>
  <c r="C253"/>
  <c r="B253"/>
  <c r="A255" l="1"/>
  <c r="C254"/>
  <c r="B254"/>
  <c r="A256" l="1"/>
  <c r="C255"/>
  <c r="B255"/>
  <c r="A257" l="1"/>
  <c r="C256"/>
  <c r="B256"/>
  <c r="C257" l="1"/>
  <c r="B257"/>
</calcChain>
</file>

<file path=xl/sharedStrings.xml><?xml version="1.0" encoding="utf-8"?>
<sst xmlns="http://schemas.openxmlformats.org/spreadsheetml/2006/main" count="661" uniqueCount="149">
  <si>
    <t>Ticks</t>
  </si>
  <si>
    <t>Instr.</t>
  </si>
  <si>
    <t>Addrmode</t>
  </si>
  <si>
    <t>brk</t>
  </si>
  <si>
    <t>implied</t>
  </si>
  <si>
    <t>ora</t>
  </si>
  <si>
    <t>indx</t>
  </si>
  <si>
    <t>nop</t>
  </si>
  <si>
    <t>tsb</t>
  </si>
  <si>
    <t>zp</t>
  </si>
  <si>
    <t>asl</t>
  </si>
  <si>
    <t>php</t>
  </si>
  <si>
    <t>immediate</t>
  </si>
  <si>
    <t>asla</t>
  </si>
  <si>
    <t>abs</t>
  </si>
  <si>
    <t>bpl</t>
  </si>
  <si>
    <t>relative</t>
  </si>
  <si>
    <t>indy</t>
  </si>
  <si>
    <t>indzp</t>
  </si>
  <si>
    <t>trb</t>
  </si>
  <si>
    <t>zpx</t>
  </si>
  <si>
    <t>clc</t>
  </si>
  <si>
    <t>absy</t>
  </si>
  <si>
    <t>ina</t>
  </si>
  <si>
    <t>absx</t>
  </si>
  <si>
    <t>jsr</t>
  </si>
  <si>
    <t>and</t>
  </si>
  <si>
    <t>bit</t>
  </si>
  <si>
    <t>rol</t>
  </si>
  <si>
    <t>plp</t>
  </si>
  <si>
    <t>rola</t>
  </si>
  <si>
    <t>bmi</t>
  </si>
  <si>
    <t>sec</t>
  </si>
  <si>
    <t>dea</t>
  </si>
  <si>
    <t>rti</t>
  </si>
  <si>
    <t>eor</t>
  </si>
  <si>
    <t>lsr</t>
  </si>
  <si>
    <t>pha</t>
  </si>
  <si>
    <t>lsra</t>
  </si>
  <si>
    <t>jmp</t>
  </si>
  <si>
    <t>bvc</t>
  </si>
  <si>
    <t>cli</t>
  </si>
  <si>
    <t>phy</t>
  </si>
  <si>
    <t>rts</t>
  </si>
  <si>
    <t>adc</t>
  </si>
  <si>
    <t>stz</t>
  </si>
  <si>
    <t>ror</t>
  </si>
  <si>
    <t>pla</t>
  </si>
  <si>
    <t>rora</t>
  </si>
  <si>
    <t>indirect</t>
  </si>
  <si>
    <t>bvs</t>
  </si>
  <si>
    <t>sei</t>
  </si>
  <si>
    <t>ply</t>
  </si>
  <si>
    <t>indabsx</t>
  </si>
  <si>
    <t>bra</t>
  </si>
  <si>
    <t>sta</t>
  </si>
  <si>
    <t>sty</t>
  </si>
  <si>
    <t>stx</t>
  </si>
  <si>
    <t>dey</t>
  </si>
  <si>
    <t>txa</t>
  </si>
  <si>
    <t>bcc</t>
  </si>
  <si>
    <t>zpy</t>
  </si>
  <si>
    <t>tya</t>
  </si>
  <si>
    <t>txs</t>
  </si>
  <si>
    <t>ldy</t>
  </si>
  <si>
    <t>lda</t>
  </si>
  <si>
    <t>ldx</t>
  </si>
  <si>
    <t>tay</t>
  </si>
  <si>
    <t>tax</t>
  </si>
  <si>
    <t>bcs</t>
  </si>
  <si>
    <t>clv</t>
  </si>
  <si>
    <t>tsx</t>
  </si>
  <si>
    <t>cpy</t>
  </si>
  <si>
    <t>cmp</t>
  </si>
  <si>
    <t>dec</t>
  </si>
  <si>
    <t>iny</t>
  </si>
  <si>
    <t>dex</t>
  </si>
  <si>
    <t>bne</t>
  </si>
  <si>
    <t>cld</t>
  </si>
  <si>
    <t>phx</t>
  </si>
  <si>
    <t>cpx</t>
  </si>
  <si>
    <t>sbc</t>
  </si>
  <si>
    <t>inc</t>
  </si>
  <si>
    <t>inx</t>
  </si>
  <si>
    <t>beq</t>
  </si>
  <si>
    <t>sed</t>
  </si>
  <si>
    <t>plx</t>
  </si>
  <si>
    <t>ADC</t>
  </si>
  <si>
    <t>AND</t>
  </si>
  <si>
    <t>ASL</t>
  </si>
  <si>
    <t>BCC</t>
  </si>
  <si>
    <t>BCS</t>
  </si>
  <si>
    <t>BEQ</t>
  </si>
  <si>
    <t>BIT</t>
  </si>
  <si>
    <t>BMI</t>
  </si>
  <si>
    <t>BNE</t>
  </si>
  <si>
    <t>BPL</t>
  </si>
  <si>
    <t>BRK</t>
  </si>
  <si>
    <t>BVC</t>
  </si>
  <si>
    <t>BVS</t>
  </si>
  <si>
    <t>CLC</t>
  </si>
  <si>
    <t>CLD</t>
  </si>
  <si>
    <t>CLI</t>
  </si>
  <si>
    <t>CLV</t>
  </si>
  <si>
    <t>CMP</t>
  </si>
  <si>
    <t>CPX</t>
  </si>
  <si>
    <t>CPY</t>
  </si>
  <si>
    <t>DEC</t>
  </si>
  <si>
    <t>DEX</t>
  </si>
  <si>
    <t>DEY</t>
  </si>
  <si>
    <t>EOR</t>
  </si>
  <si>
    <t>INC</t>
  </si>
  <si>
    <t>INX</t>
  </si>
  <si>
    <t>INY</t>
  </si>
  <si>
    <t>JMP</t>
  </si>
  <si>
    <t>JSR</t>
  </si>
  <si>
    <t>LDA</t>
  </si>
  <si>
    <t>LDX</t>
  </si>
  <si>
    <t>LDY</t>
  </si>
  <si>
    <t>LSR</t>
  </si>
  <si>
    <t>NOP</t>
  </si>
  <si>
    <t>ORA</t>
  </si>
  <si>
    <t>PHA</t>
  </si>
  <si>
    <t>PHP</t>
  </si>
  <si>
    <t>PLA</t>
  </si>
  <si>
    <t>PLP</t>
  </si>
  <si>
    <t>ROL</t>
  </si>
  <si>
    <t>ROR</t>
  </si>
  <si>
    <t>RTI</t>
  </si>
  <si>
    <t>RTS</t>
  </si>
  <si>
    <t>SBC</t>
  </si>
  <si>
    <t>SEC</t>
  </si>
  <si>
    <t>SED</t>
  </si>
  <si>
    <t>SEI</t>
  </si>
  <si>
    <t>STA</t>
  </si>
  <si>
    <t>STX</t>
  </si>
  <si>
    <t>STY</t>
  </si>
  <si>
    <t>TAX</t>
  </si>
  <si>
    <t>TAY</t>
  </si>
  <si>
    <t>TSX</t>
  </si>
  <si>
    <t>TXA</t>
  </si>
  <si>
    <t>TXS</t>
  </si>
  <si>
    <t>TYA</t>
  </si>
  <si>
    <t>Reg/illeg.</t>
  </si>
  <si>
    <t>Instruction</t>
  </si>
  <si>
    <t>Reg./Illeg.</t>
  </si>
  <si>
    <t>opcode (hex)</t>
  </si>
  <si>
    <t>opcode (bin)</t>
  </si>
  <si>
    <t>opcode (dez)</t>
  </si>
</sst>
</file>

<file path=xl/styles.xml><?xml version="1.0" encoding="utf-8"?>
<styleSheet xmlns="http://schemas.openxmlformats.org/spreadsheetml/2006/main">
  <fonts count="1">
    <font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/>
    <xf numFmtId="0" fontId="0" fillId="0" borderId="0" xfId="0" applyNumberFormat="1"/>
    <xf numFmtId="0" fontId="0" fillId="0" borderId="0" xfId="0" applyAlignment="1">
      <alignment textRotation="90"/>
    </xf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H257"/>
  <sheetViews>
    <sheetView tabSelected="1" workbookViewId="0">
      <selection activeCell="E25" sqref="E25"/>
    </sheetView>
  </sheetViews>
  <sheetFormatPr baseColWidth="10" defaultRowHeight="14.25"/>
  <cols>
    <col min="5" max="5" width="11" style="1"/>
  </cols>
  <sheetData>
    <row r="1" spans="1:8">
      <c r="A1" t="s">
        <v>148</v>
      </c>
      <c r="B1" t="s">
        <v>146</v>
      </c>
      <c r="C1" t="s">
        <v>147</v>
      </c>
      <c r="D1" t="s">
        <v>0</v>
      </c>
      <c r="E1" s="1" t="s">
        <v>1</v>
      </c>
      <c r="F1" t="s">
        <v>2</v>
      </c>
      <c r="G1" t="s">
        <v>143</v>
      </c>
    </row>
    <row r="2" spans="1:8">
      <c r="A2">
        <v>0</v>
      </c>
      <c r="B2" t="str">
        <f>DEC2HEX(A2,2)</f>
        <v>00</v>
      </c>
      <c r="C2" t="str">
        <f>DEC2BIN(A2,8)</f>
        <v>00000000</v>
      </c>
      <c r="D2">
        <v>7</v>
      </c>
      <c r="E2" s="1" t="s">
        <v>3</v>
      </c>
      <c r="F2" t="s">
        <v>4</v>
      </c>
      <c r="G2" t="str">
        <f>IF(NOT(ISERROR(VLOOKUP(UPPER(E2),Tabelle3!A:A,1,FALSE))),"regulär","illegal")</f>
        <v>regulär</v>
      </c>
      <c r="H2" t="str">
        <f>E2&amp;"-"&amp;F2</f>
        <v>brk-implied</v>
      </c>
    </row>
    <row r="3" spans="1:8">
      <c r="A3">
        <f>A2+1</f>
        <v>1</v>
      </c>
      <c r="B3" t="str">
        <f t="shared" ref="B3:B66" si="0">DEC2HEX(A3,2)</f>
        <v>01</v>
      </c>
      <c r="C3" t="str">
        <f t="shared" ref="C3:C66" si="1">DEC2BIN(A3,8)</f>
        <v>00000001</v>
      </c>
      <c r="D3">
        <v>6</v>
      </c>
      <c r="E3" s="1" t="s">
        <v>5</v>
      </c>
      <c r="F3" t="s">
        <v>6</v>
      </c>
      <c r="G3" t="str">
        <f>IF(NOT(ISERROR(VLOOKUP(UPPER(E3),Tabelle3!A:A,1,FALSE))),"regulär","illegal")</f>
        <v>regulär</v>
      </c>
      <c r="H3" t="str">
        <f t="shared" ref="H3:H66" si="2">E3&amp;"-"&amp;F3</f>
        <v>ora-indx</v>
      </c>
    </row>
    <row r="4" spans="1:8">
      <c r="A4">
        <f t="shared" ref="A4:A67" si="3">A3+1</f>
        <v>2</v>
      </c>
      <c r="B4" t="str">
        <f t="shared" si="0"/>
        <v>02</v>
      </c>
      <c r="C4" t="str">
        <f t="shared" si="1"/>
        <v>00000010</v>
      </c>
      <c r="D4">
        <v>2</v>
      </c>
      <c r="E4" s="1" t="s">
        <v>7</v>
      </c>
      <c r="F4" t="s">
        <v>4</v>
      </c>
      <c r="G4" t="str">
        <f>IF(NOT(ISERROR(VLOOKUP(UPPER(E4),Tabelle3!A:A,1,FALSE))),"regulär","illegal")</f>
        <v>regulär</v>
      </c>
      <c r="H4" t="str">
        <f t="shared" si="2"/>
        <v>nop-implied</v>
      </c>
    </row>
    <row r="5" spans="1:8">
      <c r="A5">
        <f t="shared" si="3"/>
        <v>3</v>
      </c>
      <c r="B5" t="str">
        <f t="shared" si="0"/>
        <v>03</v>
      </c>
      <c r="C5" t="str">
        <f t="shared" si="1"/>
        <v>00000011</v>
      </c>
      <c r="D5">
        <v>2</v>
      </c>
      <c r="E5" s="1" t="s">
        <v>7</v>
      </c>
      <c r="F5" t="s">
        <v>4</v>
      </c>
      <c r="G5" t="str">
        <f>IF(NOT(ISERROR(VLOOKUP(UPPER(E5),Tabelle3!A:A,1,FALSE))),"regulär","illegal")</f>
        <v>regulär</v>
      </c>
      <c r="H5" t="str">
        <f t="shared" si="2"/>
        <v>nop-implied</v>
      </c>
    </row>
    <row r="6" spans="1:8">
      <c r="A6">
        <f t="shared" si="3"/>
        <v>4</v>
      </c>
      <c r="B6" t="str">
        <f t="shared" si="0"/>
        <v>04</v>
      </c>
      <c r="C6" t="str">
        <f t="shared" si="1"/>
        <v>00000100</v>
      </c>
      <c r="D6">
        <v>3</v>
      </c>
      <c r="E6" s="1" t="s">
        <v>8</v>
      </c>
      <c r="F6" t="s">
        <v>9</v>
      </c>
      <c r="G6" t="str">
        <f>IF(NOT(ISERROR(VLOOKUP(UPPER(E6),Tabelle3!A:A,1,FALSE))),"regulär","illegal")</f>
        <v>illegal</v>
      </c>
      <c r="H6" t="str">
        <f t="shared" si="2"/>
        <v>tsb-zp</v>
      </c>
    </row>
    <row r="7" spans="1:8">
      <c r="A7">
        <f t="shared" si="3"/>
        <v>5</v>
      </c>
      <c r="B7" t="str">
        <f t="shared" si="0"/>
        <v>05</v>
      </c>
      <c r="C7" t="str">
        <f t="shared" si="1"/>
        <v>00000101</v>
      </c>
      <c r="D7">
        <v>3</v>
      </c>
      <c r="E7" s="1" t="s">
        <v>5</v>
      </c>
      <c r="F7" t="s">
        <v>9</v>
      </c>
      <c r="G7" t="str">
        <f>IF(NOT(ISERROR(VLOOKUP(UPPER(E7),Tabelle3!A:A,1,FALSE))),"regulär","illegal")</f>
        <v>regulär</v>
      </c>
      <c r="H7" t="str">
        <f t="shared" si="2"/>
        <v>ora-zp</v>
      </c>
    </row>
    <row r="8" spans="1:8">
      <c r="A8">
        <f t="shared" si="3"/>
        <v>6</v>
      </c>
      <c r="B8" t="str">
        <f t="shared" si="0"/>
        <v>06</v>
      </c>
      <c r="C8" t="str">
        <f t="shared" si="1"/>
        <v>00000110</v>
      </c>
      <c r="D8">
        <v>5</v>
      </c>
      <c r="E8" s="1" t="s">
        <v>10</v>
      </c>
      <c r="F8" t="s">
        <v>9</v>
      </c>
      <c r="G8" t="str">
        <f>IF(NOT(ISERROR(VLOOKUP(UPPER(E8),Tabelle3!A:A,1,FALSE))),"regulär","illegal")</f>
        <v>regulär</v>
      </c>
      <c r="H8" t="str">
        <f t="shared" si="2"/>
        <v>asl-zp</v>
      </c>
    </row>
    <row r="9" spans="1:8">
      <c r="A9">
        <f t="shared" si="3"/>
        <v>7</v>
      </c>
      <c r="B9" t="str">
        <f t="shared" si="0"/>
        <v>07</v>
      </c>
      <c r="C9" t="str">
        <f t="shared" si="1"/>
        <v>00000111</v>
      </c>
      <c r="D9">
        <v>2</v>
      </c>
      <c r="E9" s="1" t="s">
        <v>7</v>
      </c>
      <c r="F9" t="s">
        <v>4</v>
      </c>
      <c r="G9" t="str">
        <f>IF(NOT(ISERROR(VLOOKUP(UPPER(E9),Tabelle3!A:A,1,FALSE))),"regulär","illegal")</f>
        <v>regulär</v>
      </c>
      <c r="H9" t="str">
        <f t="shared" si="2"/>
        <v>nop-implied</v>
      </c>
    </row>
    <row r="10" spans="1:8">
      <c r="A10">
        <f t="shared" si="3"/>
        <v>8</v>
      </c>
      <c r="B10" t="str">
        <f t="shared" si="0"/>
        <v>08</v>
      </c>
      <c r="C10" t="str">
        <f t="shared" si="1"/>
        <v>00001000</v>
      </c>
      <c r="D10">
        <v>3</v>
      </c>
      <c r="E10" s="1" t="s">
        <v>11</v>
      </c>
      <c r="F10" t="s">
        <v>4</v>
      </c>
      <c r="G10" t="str">
        <f>IF(NOT(ISERROR(VLOOKUP(UPPER(E10),Tabelle3!A:A,1,FALSE))),"regulär","illegal")</f>
        <v>regulär</v>
      </c>
      <c r="H10" t="str">
        <f t="shared" si="2"/>
        <v>php-implied</v>
      </c>
    </row>
    <row r="11" spans="1:8">
      <c r="A11">
        <f t="shared" si="3"/>
        <v>9</v>
      </c>
      <c r="B11" t="str">
        <f t="shared" si="0"/>
        <v>09</v>
      </c>
      <c r="C11" t="str">
        <f t="shared" si="1"/>
        <v>00001001</v>
      </c>
      <c r="D11">
        <v>3</v>
      </c>
      <c r="E11" s="1" t="s">
        <v>5</v>
      </c>
      <c r="F11" t="s">
        <v>12</v>
      </c>
      <c r="G11" t="str">
        <f>IF(NOT(ISERROR(VLOOKUP(UPPER(E11),Tabelle3!A:A,1,FALSE))),"regulär","illegal")</f>
        <v>regulär</v>
      </c>
      <c r="H11" t="str">
        <f t="shared" si="2"/>
        <v>ora-immediate</v>
      </c>
    </row>
    <row r="12" spans="1:8">
      <c r="A12">
        <f t="shared" si="3"/>
        <v>10</v>
      </c>
      <c r="B12" t="str">
        <f t="shared" si="0"/>
        <v>0A</v>
      </c>
      <c r="C12" t="str">
        <f t="shared" si="1"/>
        <v>00001010</v>
      </c>
      <c r="D12">
        <v>2</v>
      </c>
      <c r="E12" s="1" t="s">
        <v>13</v>
      </c>
      <c r="F12" t="s">
        <v>4</v>
      </c>
      <c r="G12" t="str">
        <f>IF(NOT(ISERROR(VLOOKUP(UPPER(E12),Tabelle3!A:A,1,FALSE))),"regulär","illegal")</f>
        <v>illegal</v>
      </c>
      <c r="H12" t="str">
        <f t="shared" si="2"/>
        <v>asla-implied</v>
      </c>
    </row>
    <row r="13" spans="1:8">
      <c r="A13">
        <f t="shared" si="3"/>
        <v>11</v>
      </c>
      <c r="B13" t="str">
        <f t="shared" si="0"/>
        <v>0B</v>
      </c>
      <c r="C13" t="str">
        <f t="shared" si="1"/>
        <v>00001011</v>
      </c>
      <c r="D13">
        <v>2</v>
      </c>
      <c r="E13" s="1" t="s">
        <v>7</v>
      </c>
      <c r="F13" t="s">
        <v>4</v>
      </c>
      <c r="G13" t="str">
        <f>IF(NOT(ISERROR(VLOOKUP(UPPER(E13),Tabelle3!A:A,1,FALSE))),"regulär","illegal")</f>
        <v>regulär</v>
      </c>
      <c r="H13" t="str">
        <f t="shared" si="2"/>
        <v>nop-implied</v>
      </c>
    </row>
    <row r="14" spans="1:8">
      <c r="A14">
        <f t="shared" si="3"/>
        <v>12</v>
      </c>
      <c r="B14" t="str">
        <f t="shared" si="0"/>
        <v>0C</v>
      </c>
      <c r="C14" t="str">
        <f t="shared" si="1"/>
        <v>00001100</v>
      </c>
      <c r="D14">
        <v>4</v>
      </c>
      <c r="E14" s="1" t="s">
        <v>8</v>
      </c>
      <c r="F14" t="s">
        <v>14</v>
      </c>
      <c r="G14" t="str">
        <f>IF(NOT(ISERROR(VLOOKUP(UPPER(E14),Tabelle3!A:A,1,FALSE))),"regulär","illegal")</f>
        <v>illegal</v>
      </c>
      <c r="H14" t="str">
        <f t="shared" si="2"/>
        <v>tsb-abs</v>
      </c>
    </row>
    <row r="15" spans="1:8">
      <c r="A15">
        <f t="shared" si="3"/>
        <v>13</v>
      </c>
      <c r="B15" t="str">
        <f t="shared" si="0"/>
        <v>0D</v>
      </c>
      <c r="C15" t="str">
        <f t="shared" si="1"/>
        <v>00001101</v>
      </c>
      <c r="D15">
        <v>4</v>
      </c>
      <c r="E15" s="1" t="s">
        <v>5</v>
      </c>
      <c r="F15" t="s">
        <v>14</v>
      </c>
      <c r="G15" t="str">
        <f>IF(NOT(ISERROR(VLOOKUP(UPPER(E15),Tabelle3!A:A,1,FALSE))),"regulär","illegal")</f>
        <v>regulär</v>
      </c>
      <c r="H15" t="str">
        <f t="shared" si="2"/>
        <v>ora-abs</v>
      </c>
    </row>
    <row r="16" spans="1:8">
      <c r="A16">
        <f t="shared" si="3"/>
        <v>14</v>
      </c>
      <c r="B16" t="str">
        <f t="shared" si="0"/>
        <v>0E</v>
      </c>
      <c r="C16" t="str">
        <f t="shared" si="1"/>
        <v>00001110</v>
      </c>
      <c r="D16">
        <v>6</v>
      </c>
      <c r="E16" s="1" t="s">
        <v>10</v>
      </c>
      <c r="F16" t="s">
        <v>14</v>
      </c>
      <c r="G16" t="str">
        <f>IF(NOT(ISERROR(VLOOKUP(UPPER(E16),Tabelle3!A:A,1,FALSE))),"regulär","illegal")</f>
        <v>regulär</v>
      </c>
      <c r="H16" t="str">
        <f t="shared" si="2"/>
        <v>asl-abs</v>
      </c>
    </row>
    <row r="17" spans="1:8">
      <c r="A17">
        <f t="shared" si="3"/>
        <v>15</v>
      </c>
      <c r="B17" t="str">
        <f t="shared" si="0"/>
        <v>0F</v>
      </c>
      <c r="C17" t="str">
        <f t="shared" si="1"/>
        <v>00001111</v>
      </c>
      <c r="D17">
        <v>2</v>
      </c>
      <c r="E17" s="1" t="s">
        <v>7</v>
      </c>
      <c r="F17" t="s">
        <v>4</v>
      </c>
      <c r="G17" t="str">
        <f>IF(NOT(ISERROR(VLOOKUP(UPPER(E17),Tabelle3!A:A,1,FALSE))),"regulär","illegal")</f>
        <v>regulär</v>
      </c>
      <c r="H17" t="str">
        <f t="shared" si="2"/>
        <v>nop-implied</v>
      </c>
    </row>
    <row r="18" spans="1:8">
      <c r="A18">
        <f t="shared" si="3"/>
        <v>16</v>
      </c>
      <c r="B18" t="str">
        <f t="shared" si="0"/>
        <v>10</v>
      </c>
      <c r="C18" t="str">
        <f t="shared" si="1"/>
        <v>00010000</v>
      </c>
      <c r="D18">
        <v>2</v>
      </c>
      <c r="E18" s="1" t="s">
        <v>15</v>
      </c>
      <c r="F18" t="s">
        <v>16</v>
      </c>
      <c r="G18" t="str">
        <f>IF(NOT(ISERROR(VLOOKUP(UPPER(E18),Tabelle3!A:A,1,FALSE))),"regulär","illegal")</f>
        <v>regulär</v>
      </c>
      <c r="H18" t="str">
        <f t="shared" si="2"/>
        <v>bpl-relative</v>
      </c>
    </row>
    <row r="19" spans="1:8">
      <c r="A19">
        <f t="shared" si="3"/>
        <v>17</v>
      </c>
      <c r="B19" t="str">
        <f t="shared" si="0"/>
        <v>11</v>
      </c>
      <c r="C19" t="str">
        <f t="shared" si="1"/>
        <v>00010001</v>
      </c>
      <c r="D19">
        <v>5</v>
      </c>
      <c r="E19" s="1" t="s">
        <v>5</v>
      </c>
      <c r="F19" t="s">
        <v>17</v>
      </c>
      <c r="G19" t="str">
        <f>IF(NOT(ISERROR(VLOOKUP(UPPER(E19),Tabelle3!A:A,1,FALSE))),"regulär","illegal")</f>
        <v>regulär</v>
      </c>
      <c r="H19" t="str">
        <f t="shared" si="2"/>
        <v>ora-indy</v>
      </c>
    </row>
    <row r="20" spans="1:8">
      <c r="A20">
        <f t="shared" si="3"/>
        <v>18</v>
      </c>
      <c r="B20" t="str">
        <f t="shared" si="0"/>
        <v>12</v>
      </c>
      <c r="C20" t="str">
        <f t="shared" si="1"/>
        <v>00010010</v>
      </c>
      <c r="D20">
        <v>3</v>
      </c>
      <c r="E20" s="1" t="s">
        <v>5</v>
      </c>
      <c r="F20" t="s">
        <v>18</v>
      </c>
      <c r="G20" t="str">
        <f>IF(NOT(ISERROR(VLOOKUP(UPPER(E20),Tabelle3!A:A,1,FALSE))),"regulär","illegal")</f>
        <v>regulär</v>
      </c>
      <c r="H20" t="str">
        <f t="shared" si="2"/>
        <v>ora-indzp</v>
      </c>
    </row>
    <row r="21" spans="1:8">
      <c r="A21">
        <f t="shared" si="3"/>
        <v>19</v>
      </c>
      <c r="B21" t="str">
        <f t="shared" si="0"/>
        <v>13</v>
      </c>
      <c r="C21" t="str">
        <f t="shared" si="1"/>
        <v>00010011</v>
      </c>
      <c r="D21">
        <v>2</v>
      </c>
      <c r="E21" s="1" t="s">
        <v>7</v>
      </c>
      <c r="F21" t="s">
        <v>4</v>
      </c>
      <c r="G21" t="str">
        <f>IF(NOT(ISERROR(VLOOKUP(UPPER(E21),Tabelle3!A:A,1,FALSE))),"regulär","illegal")</f>
        <v>regulär</v>
      </c>
      <c r="H21" t="str">
        <f t="shared" si="2"/>
        <v>nop-implied</v>
      </c>
    </row>
    <row r="22" spans="1:8">
      <c r="A22">
        <f t="shared" si="3"/>
        <v>20</v>
      </c>
      <c r="B22" t="str">
        <f t="shared" si="0"/>
        <v>14</v>
      </c>
      <c r="C22" t="str">
        <f t="shared" si="1"/>
        <v>00010100</v>
      </c>
      <c r="D22">
        <v>3</v>
      </c>
      <c r="E22" s="1" t="s">
        <v>19</v>
      </c>
      <c r="F22" t="s">
        <v>9</v>
      </c>
      <c r="G22" t="str">
        <f>IF(NOT(ISERROR(VLOOKUP(UPPER(E22),Tabelle3!A:A,1,FALSE))),"regulär","illegal")</f>
        <v>illegal</v>
      </c>
      <c r="H22" t="str">
        <f t="shared" si="2"/>
        <v>trb-zp</v>
      </c>
    </row>
    <row r="23" spans="1:8">
      <c r="A23">
        <f t="shared" si="3"/>
        <v>21</v>
      </c>
      <c r="B23" t="str">
        <f t="shared" si="0"/>
        <v>15</v>
      </c>
      <c r="C23" t="str">
        <f t="shared" si="1"/>
        <v>00010101</v>
      </c>
      <c r="D23">
        <v>4</v>
      </c>
      <c r="E23" s="1" t="s">
        <v>5</v>
      </c>
      <c r="F23" t="s">
        <v>20</v>
      </c>
      <c r="G23" t="str">
        <f>IF(NOT(ISERROR(VLOOKUP(UPPER(E23),Tabelle3!A:A,1,FALSE))),"regulär","illegal")</f>
        <v>regulär</v>
      </c>
      <c r="H23" t="str">
        <f t="shared" si="2"/>
        <v>ora-zpx</v>
      </c>
    </row>
    <row r="24" spans="1:8">
      <c r="A24">
        <f t="shared" si="3"/>
        <v>22</v>
      </c>
      <c r="B24" t="str">
        <f t="shared" si="0"/>
        <v>16</v>
      </c>
      <c r="C24" t="str">
        <f t="shared" si="1"/>
        <v>00010110</v>
      </c>
      <c r="D24">
        <v>6</v>
      </c>
      <c r="E24" s="1" t="s">
        <v>10</v>
      </c>
      <c r="F24" t="s">
        <v>20</v>
      </c>
      <c r="G24" t="str">
        <f>IF(NOT(ISERROR(VLOOKUP(UPPER(E24),Tabelle3!A:A,1,FALSE))),"regulär","illegal")</f>
        <v>regulär</v>
      </c>
      <c r="H24" t="str">
        <f t="shared" si="2"/>
        <v>asl-zpx</v>
      </c>
    </row>
    <row r="25" spans="1:8">
      <c r="A25">
        <f t="shared" si="3"/>
        <v>23</v>
      </c>
      <c r="B25" t="str">
        <f t="shared" si="0"/>
        <v>17</v>
      </c>
      <c r="C25" t="str">
        <f t="shared" si="1"/>
        <v>00010111</v>
      </c>
      <c r="D25">
        <v>2</v>
      </c>
      <c r="E25" s="1" t="s">
        <v>7</v>
      </c>
      <c r="F25" t="s">
        <v>4</v>
      </c>
      <c r="G25" t="str">
        <f>IF(NOT(ISERROR(VLOOKUP(UPPER(E25),Tabelle3!A:A,1,FALSE))),"regulär","illegal")</f>
        <v>regulär</v>
      </c>
      <c r="H25" t="str">
        <f t="shared" si="2"/>
        <v>nop-implied</v>
      </c>
    </row>
    <row r="26" spans="1:8">
      <c r="A26">
        <f t="shared" si="3"/>
        <v>24</v>
      </c>
      <c r="B26" t="str">
        <f t="shared" si="0"/>
        <v>18</v>
      </c>
      <c r="C26" t="str">
        <f t="shared" si="1"/>
        <v>00011000</v>
      </c>
      <c r="D26">
        <v>2</v>
      </c>
      <c r="E26" s="1" t="s">
        <v>21</v>
      </c>
      <c r="F26" t="s">
        <v>4</v>
      </c>
      <c r="G26" t="str">
        <f>IF(NOT(ISERROR(VLOOKUP(UPPER(E26),Tabelle3!A:A,1,FALSE))),"regulär","illegal")</f>
        <v>regulär</v>
      </c>
      <c r="H26" t="str">
        <f t="shared" si="2"/>
        <v>clc-implied</v>
      </c>
    </row>
    <row r="27" spans="1:8">
      <c r="A27">
        <f t="shared" si="3"/>
        <v>25</v>
      </c>
      <c r="B27" t="str">
        <f t="shared" si="0"/>
        <v>19</v>
      </c>
      <c r="C27" t="str">
        <f t="shared" si="1"/>
        <v>00011001</v>
      </c>
      <c r="D27">
        <v>4</v>
      </c>
      <c r="E27" s="1" t="s">
        <v>5</v>
      </c>
      <c r="F27" t="s">
        <v>22</v>
      </c>
      <c r="G27" t="str">
        <f>IF(NOT(ISERROR(VLOOKUP(UPPER(E27),Tabelle3!A:A,1,FALSE))),"regulär","illegal")</f>
        <v>regulär</v>
      </c>
      <c r="H27" t="str">
        <f t="shared" si="2"/>
        <v>ora-absy</v>
      </c>
    </row>
    <row r="28" spans="1:8">
      <c r="A28">
        <f t="shared" si="3"/>
        <v>26</v>
      </c>
      <c r="B28" t="str">
        <f t="shared" si="0"/>
        <v>1A</v>
      </c>
      <c r="C28" t="str">
        <f t="shared" si="1"/>
        <v>00011010</v>
      </c>
      <c r="D28">
        <v>2</v>
      </c>
      <c r="E28" s="1" t="s">
        <v>23</v>
      </c>
      <c r="F28" t="s">
        <v>4</v>
      </c>
      <c r="G28" t="str">
        <f>IF(NOT(ISERROR(VLOOKUP(UPPER(E28),Tabelle3!A:A,1,FALSE))),"regulär","illegal")</f>
        <v>illegal</v>
      </c>
      <c r="H28" t="str">
        <f t="shared" si="2"/>
        <v>ina-implied</v>
      </c>
    </row>
    <row r="29" spans="1:8">
      <c r="A29">
        <f t="shared" si="3"/>
        <v>27</v>
      </c>
      <c r="B29" t="str">
        <f t="shared" si="0"/>
        <v>1B</v>
      </c>
      <c r="C29" t="str">
        <f t="shared" si="1"/>
        <v>00011011</v>
      </c>
      <c r="D29">
        <v>2</v>
      </c>
      <c r="E29" s="1" t="s">
        <v>7</v>
      </c>
      <c r="F29" t="s">
        <v>4</v>
      </c>
      <c r="G29" t="str">
        <f>IF(NOT(ISERROR(VLOOKUP(UPPER(E29),Tabelle3!A:A,1,FALSE))),"regulär","illegal")</f>
        <v>regulär</v>
      </c>
      <c r="H29" t="str">
        <f t="shared" si="2"/>
        <v>nop-implied</v>
      </c>
    </row>
    <row r="30" spans="1:8">
      <c r="A30">
        <f t="shared" si="3"/>
        <v>28</v>
      </c>
      <c r="B30" t="str">
        <f t="shared" si="0"/>
        <v>1C</v>
      </c>
      <c r="C30" t="str">
        <f t="shared" si="1"/>
        <v>00011100</v>
      </c>
      <c r="D30">
        <v>4</v>
      </c>
      <c r="E30" s="1" t="s">
        <v>19</v>
      </c>
      <c r="F30" t="s">
        <v>14</v>
      </c>
      <c r="G30" t="str">
        <f>IF(NOT(ISERROR(VLOOKUP(UPPER(E30),Tabelle3!A:A,1,FALSE))),"regulär","illegal")</f>
        <v>illegal</v>
      </c>
      <c r="H30" t="str">
        <f t="shared" si="2"/>
        <v>trb-abs</v>
      </c>
    </row>
    <row r="31" spans="1:8">
      <c r="A31">
        <f t="shared" si="3"/>
        <v>29</v>
      </c>
      <c r="B31" t="str">
        <f t="shared" si="0"/>
        <v>1D</v>
      </c>
      <c r="C31" t="str">
        <f t="shared" si="1"/>
        <v>00011101</v>
      </c>
      <c r="D31">
        <v>4</v>
      </c>
      <c r="E31" s="1" t="s">
        <v>5</v>
      </c>
      <c r="F31" t="s">
        <v>24</v>
      </c>
      <c r="G31" t="str">
        <f>IF(NOT(ISERROR(VLOOKUP(UPPER(E31),Tabelle3!A:A,1,FALSE))),"regulär","illegal")</f>
        <v>regulär</v>
      </c>
      <c r="H31" t="str">
        <f t="shared" si="2"/>
        <v>ora-absx</v>
      </c>
    </row>
    <row r="32" spans="1:8">
      <c r="A32">
        <f t="shared" si="3"/>
        <v>30</v>
      </c>
      <c r="B32" t="str">
        <f t="shared" si="0"/>
        <v>1E</v>
      </c>
      <c r="C32" t="str">
        <f t="shared" si="1"/>
        <v>00011110</v>
      </c>
      <c r="D32">
        <v>7</v>
      </c>
      <c r="E32" s="1" t="s">
        <v>10</v>
      </c>
      <c r="F32" t="s">
        <v>24</v>
      </c>
      <c r="G32" t="str">
        <f>IF(NOT(ISERROR(VLOOKUP(UPPER(E32),Tabelle3!A:A,1,FALSE))),"regulär","illegal")</f>
        <v>regulär</v>
      </c>
      <c r="H32" t="str">
        <f t="shared" si="2"/>
        <v>asl-absx</v>
      </c>
    </row>
    <row r="33" spans="1:8">
      <c r="A33">
        <f t="shared" si="3"/>
        <v>31</v>
      </c>
      <c r="B33" t="str">
        <f t="shared" si="0"/>
        <v>1F</v>
      </c>
      <c r="C33" t="str">
        <f t="shared" si="1"/>
        <v>00011111</v>
      </c>
      <c r="D33">
        <v>2</v>
      </c>
      <c r="E33" s="1" t="s">
        <v>7</v>
      </c>
      <c r="F33" t="s">
        <v>4</v>
      </c>
      <c r="G33" t="str">
        <f>IF(NOT(ISERROR(VLOOKUP(UPPER(E33),Tabelle3!A:A,1,FALSE))),"regulär","illegal")</f>
        <v>regulär</v>
      </c>
      <c r="H33" t="str">
        <f t="shared" si="2"/>
        <v>nop-implied</v>
      </c>
    </row>
    <row r="34" spans="1:8">
      <c r="A34">
        <f t="shared" si="3"/>
        <v>32</v>
      </c>
      <c r="B34" t="str">
        <f t="shared" si="0"/>
        <v>20</v>
      </c>
      <c r="C34" t="str">
        <f t="shared" si="1"/>
        <v>00100000</v>
      </c>
      <c r="D34">
        <v>6</v>
      </c>
      <c r="E34" s="1" t="s">
        <v>25</v>
      </c>
      <c r="F34" t="s">
        <v>14</v>
      </c>
      <c r="G34" t="str">
        <f>IF(NOT(ISERROR(VLOOKUP(UPPER(E34),Tabelle3!A:A,1,FALSE))),"regulär","illegal")</f>
        <v>regulär</v>
      </c>
      <c r="H34" t="str">
        <f t="shared" si="2"/>
        <v>jsr-abs</v>
      </c>
    </row>
    <row r="35" spans="1:8">
      <c r="A35">
        <f t="shared" si="3"/>
        <v>33</v>
      </c>
      <c r="B35" t="str">
        <f t="shared" si="0"/>
        <v>21</v>
      </c>
      <c r="C35" t="str">
        <f t="shared" si="1"/>
        <v>00100001</v>
      </c>
      <c r="D35">
        <v>6</v>
      </c>
      <c r="E35" s="1" t="s">
        <v>26</v>
      </c>
      <c r="F35" t="s">
        <v>6</v>
      </c>
      <c r="G35" t="str">
        <f>IF(NOT(ISERROR(VLOOKUP(UPPER(E35),Tabelle3!A:A,1,FALSE))),"regulär","illegal")</f>
        <v>regulär</v>
      </c>
      <c r="H35" t="str">
        <f t="shared" si="2"/>
        <v>and-indx</v>
      </c>
    </row>
    <row r="36" spans="1:8">
      <c r="A36">
        <f t="shared" si="3"/>
        <v>34</v>
      </c>
      <c r="B36" t="str">
        <f t="shared" si="0"/>
        <v>22</v>
      </c>
      <c r="C36" t="str">
        <f t="shared" si="1"/>
        <v>00100010</v>
      </c>
      <c r="D36">
        <v>2</v>
      </c>
      <c r="E36" s="1" t="s">
        <v>7</v>
      </c>
      <c r="F36" t="s">
        <v>4</v>
      </c>
      <c r="G36" t="str">
        <f>IF(NOT(ISERROR(VLOOKUP(UPPER(E36),Tabelle3!A:A,1,FALSE))),"regulär","illegal")</f>
        <v>regulär</v>
      </c>
      <c r="H36" t="str">
        <f t="shared" si="2"/>
        <v>nop-implied</v>
      </c>
    </row>
    <row r="37" spans="1:8">
      <c r="A37">
        <f t="shared" si="3"/>
        <v>35</v>
      </c>
      <c r="B37" t="str">
        <f t="shared" si="0"/>
        <v>23</v>
      </c>
      <c r="C37" t="str">
        <f t="shared" si="1"/>
        <v>00100011</v>
      </c>
      <c r="D37">
        <v>2</v>
      </c>
      <c r="E37" s="1" t="s">
        <v>7</v>
      </c>
      <c r="F37" t="s">
        <v>4</v>
      </c>
      <c r="G37" t="str">
        <f>IF(NOT(ISERROR(VLOOKUP(UPPER(E37),Tabelle3!A:A,1,FALSE))),"regulär","illegal")</f>
        <v>regulär</v>
      </c>
      <c r="H37" t="str">
        <f t="shared" si="2"/>
        <v>nop-implied</v>
      </c>
    </row>
    <row r="38" spans="1:8">
      <c r="A38">
        <f t="shared" si="3"/>
        <v>36</v>
      </c>
      <c r="B38" t="str">
        <f t="shared" si="0"/>
        <v>24</v>
      </c>
      <c r="C38" t="str">
        <f t="shared" si="1"/>
        <v>00100100</v>
      </c>
      <c r="D38">
        <v>3</v>
      </c>
      <c r="E38" s="1" t="s">
        <v>27</v>
      </c>
      <c r="F38" t="s">
        <v>9</v>
      </c>
      <c r="G38" t="str">
        <f>IF(NOT(ISERROR(VLOOKUP(UPPER(E38),Tabelle3!A:A,1,FALSE))),"regulär","illegal")</f>
        <v>regulär</v>
      </c>
      <c r="H38" t="str">
        <f t="shared" si="2"/>
        <v>bit-zp</v>
      </c>
    </row>
    <row r="39" spans="1:8">
      <c r="A39">
        <f t="shared" si="3"/>
        <v>37</v>
      </c>
      <c r="B39" t="str">
        <f t="shared" si="0"/>
        <v>25</v>
      </c>
      <c r="C39" t="str">
        <f t="shared" si="1"/>
        <v>00100101</v>
      </c>
      <c r="D39">
        <v>3</v>
      </c>
      <c r="E39" s="1" t="s">
        <v>26</v>
      </c>
      <c r="F39" t="s">
        <v>9</v>
      </c>
      <c r="G39" t="str">
        <f>IF(NOT(ISERROR(VLOOKUP(UPPER(E39),Tabelle3!A:A,1,FALSE))),"regulär","illegal")</f>
        <v>regulär</v>
      </c>
      <c r="H39" t="str">
        <f t="shared" si="2"/>
        <v>and-zp</v>
      </c>
    </row>
    <row r="40" spans="1:8">
      <c r="A40">
        <f t="shared" si="3"/>
        <v>38</v>
      </c>
      <c r="B40" t="str">
        <f t="shared" si="0"/>
        <v>26</v>
      </c>
      <c r="C40" t="str">
        <f t="shared" si="1"/>
        <v>00100110</v>
      </c>
      <c r="D40">
        <v>5</v>
      </c>
      <c r="E40" s="1" t="s">
        <v>28</v>
      </c>
      <c r="F40" t="s">
        <v>9</v>
      </c>
      <c r="G40" t="str">
        <f>IF(NOT(ISERROR(VLOOKUP(UPPER(E40),Tabelle3!A:A,1,FALSE))),"regulär","illegal")</f>
        <v>regulär</v>
      </c>
      <c r="H40" t="str">
        <f t="shared" si="2"/>
        <v>rol-zp</v>
      </c>
    </row>
    <row r="41" spans="1:8">
      <c r="A41">
        <f t="shared" si="3"/>
        <v>39</v>
      </c>
      <c r="B41" t="str">
        <f t="shared" si="0"/>
        <v>27</v>
      </c>
      <c r="C41" t="str">
        <f t="shared" si="1"/>
        <v>00100111</v>
      </c>
      <c r="D41">
        <v>2</v>
      </c>
      <c r="E41" s="1" t="s">
        <v>7</v>
      </c>
      <c r="F41" t="s">
        <v>4</v>
      </c>
      <c r="G41" t="str">
        <f>IF(NOT(ISERROR(VLOOKUP(UPPER(E41),Tabelle3!A:A,1,FALSE))),"regulär","illegal")</f>
        <v>regulär</v>
      </c>
      <c r="H41" t="str">
        <f t="shared" si="2"/>
        <v>nop-implied</v>
      </c>
    </row>
    <row r="42" spans="1:8">
      <c r="A42">
        <f t="shared" si="3"/>
        <v>40</v>
      </c>
      <c r="B42" t="str">
        <f t="shared" si="0"/>
        <v>28</v>
      </c>
      <c r="C42" t="str">
        <f t="shared" si="1"/>
        <v>00101000</v>
      </c>
      <c r="D42">
        <v>4</v>
      </c>
      <c r="E42" s="1" t="s">
        <v>29</v>
      </c>
      <c r="F42" t="s">
        <v>4</v>
      </c>
      <c r="G42" t="str">
        <f>IF(NOT(ISERROR(VLOOKUP(UPPER(E42),Tabelle3!A:A,1,FALSE))),"regulär","illegal")</f>
        <v>regulär</v>
      </c>
      <c r="H42" t="str">
        <f t="shared" si="2"/>
        <v>plp-implied</v>
      </c>
    </row>
    <row r="43" spans="1:8">
      <c r="A43">
        <f t="shared" si="3"/>
        <v>41</v>
      </c>
      <c r="B43" t="str">
        <f t="shared" si="0"/>
        <v>29</v>
      </c>
      <c r="C43" t="str">
        <f t="shared" si="1"/>
        <v>00101001</v>
      </c>
      <c r="D43">
        <v>3</v>
      </c>
      <c r="E43" s="1" t="s">
        <v>26</v>
      </c>
      <c r="F43" t="s">
        <v>12</v>
      </c>
      <c r="G43" t="str">
        <f>IF(NOT(ISERROR(VLOOKUP(UPPER(E43),Tabelle3!A:A,1,FALSE))),"regulär","illegal")</f>
        <v>regulär</v>
      </c>
      <c r="H43" t="str">
        <f t="shared" si="2"/>
        <v>and-immediate</v>
      </c>
    </row>
    <row r="44" spans="1:8">
      <c r="A44">
        <f t="shared" si="3"/>
        <v>42</v>
      </c>
      <c r="B44" t="str">
        <f t="shared" si="0"/>
        <v>2A</v>
      </c>
      <c r="C44" t="str">
        <f t="shared" si="1"/>
        <v>00101010</v>
      </c>
      <c r="D44">
        <v>2</v>
      </c>
      <c r="E44" s="1" t="s">
        <v>30</v>
      </c>
      <c r="F44" t="s">
        <v>4</v>
      </c>
      <c r="G44" t="str">
        <f>IF(NOT(ISERROR(VLOOKUP(UPPER(E44),Tabelle3!A:A,1,FALSE))),"regulär","illegal")</f>
        <v>illegal</v>
      </c>
      <c r="H44" t="str">
        <f t="shared" si="2"/>
        <v>rola-implied</v>
      </c>
    </row>
    <row r="45" spans="1:8">
      <c r="A45">
        <f t="shared" si="3"/>
        <v>43</v>
      </c>
      <c r="B45" t="str">
        <f t="shared" si="0"/>
        <v>2B</v>
      </c>
      <c r="C45" t="str">
        <f t="shared" si="1"/>
        <v>00101011</v>
      </c>
      <c r="D45">
        <v>2</v>
      </c>
      <c r="E45" s="1" t="s">
        <v>7</v>
      </c>
      <c r="F45" t="s">
        <v>4</v>
      </c>
      <c r="G45" t="str">
        <f>IF(NOT(ISERROR(VLOOKUP(UPPER(E45),Tabelle3!A:A,1,FALSE))),"regulär","illegal")</f>
        <v>regulär</v>
      </c>
      <c r="H45" t="str">
        <f t="shared" si="2"/>
        <v>nop-implied</v>
      </c>
    </row>
    <row r="46" spans="1:8">
      <c r="A46">
        <f t="shared" si="3"/>
        <v>44</v>
      </c>
      <c r="B46" t="str">
        <f t="shared" si="0"/>
        <v>2C</v>
      </c>
      <c r="C46" t="str">
        <f t="shared" si="1"/>
        <v>00101100</v>
      </c>
      <c r="D46">
        <v>4</v>
      </c>
      <c r="E46" s="1" t="s">
        <v>27</v>
      </c>
      <c r="F46" t="s">
        <v>14</v>
      </c>
      <c r="G46" t="str">
        <f>IF(NOT(ISERROR(VLOOKUP(UPPER(E46),Tabelle3!A:A,1,FALSE))),"regulär","illegal")</f>
        <v>regulär</v>
      </c>
      <c r="H46" t="str">
        <f t="shared" si="2"/>
        <v>bit-abs</v>
      </c>
    </row>
    <row r="47" spans="1:8">
      <c r="A47">
        <f t="shared" si="3"/>
        <v>45</v>
      </c>
      <c r="B47" t="str">
        <f t="shared" si="0"/>
        <v>2D</v>
      </c>
      <c r="C47" t="str">
        <f t="shared" si="1"/>
        <v>00101101</v>
      </c>
      <c r="D47">
        <v>4</v>
      </c>
      <c r="E47" s="1" t="s">
        <v>26</v>
      </c>
      <c r="F47" t="s">
        <v>14</v>
      </c>
      <c r="G47" t="str">
        <f>IF(NOT(ISERROR(VLOOKUP(UPPER(E47),Tabelle3!A:A,1,FALSE))),"regulär","illegal")</f>
        <v>regulär</v>
      </c>
      <c r="H47" t="str">
        <f t="shared" si="2"/>
        <v>and-abs</v>
      </c>
    </row>
    <row r="48" spans="1:8">
      <c r="A48">
        <f t="shared" si="3"/>
        <v>46</v>
      </c>
      <c r="B48" t="str">
        <f t="shared" si="0"/>
        <v>2E</v>
      </c>
      <c r="C48" t="str">
        <f t="shared" si="1"/>
        <v>00101110</v>
      </c>
      <c r="D48">
        <v>6</v>
      </c>
      <c r="E48" s="1" t="s">
        <v>28</v>
      </c>
      <c r="F48" t="s">
        <v>14</v>
      </c>
      <c r="G48" t="str">
        <f>IF(NOT(ISERROR(VLOOKUP(UPPER(E48),Tabelle3!A:A,1,FALSE))),"regulär","illegal")</f>
        <v>regulär</v>
      </c>
      <c r="H48" t="str">
        <f t="shared" si="2"/>
        <v>rol-abs</v>
      </c>
    </row>
    <row r="49" spans="1:8">
      <c r="A49">
        <f t="shared" si="3"/>
        <v>47</v>
      </c>
      <c r="B49" t="str">
        <f t="shared" si="0"/>
        <v>2F</v>
      </c>
      <c r="C49" t="str">
        <f t="shared" si="1"/>
        <v>00101111</v>
      </c>
      <c r="D49">
        <v>2</v>
      </c>
      <c r="E49" s="1" t="s">
        <v>7</v>
      </c>
      <c r="F49" t="s">
        <v>4</v>
      </c>
      <c r="G49" t="str">
        <f>IF(NOT(ISERROR(VLOOKUP(UPPER(E49),Tabelle3!A:A,1,FALSE))),"regulär","illegal")</f>
        <v>regulär</v>
      </c>
      <c r="H49" t="str">
        <f t="shared" si="2"/>
        <v>nop-implied</v>
      </c>
    </row>
    <row r="50" spans="1:8">
      <c r="A50">
        <f t="shared" si="3"/>
        <v>48</v>
      </c>
      <c r="B50" t="str">
        <f t="shared" si="0"/>
        <v>30</v>
      </c>
      <c r="C50" t="str">
        <f t="shared" si="1"/>
        <v>00110000</v>
      </c>
      <c r="D50">
        <v>2</v>
      </c>
      <c r="E50" s="1" t="s">
        <v>31</v>
      </c>
      <c r="F50" t="s">
        <v>16</v>
      </c>
      <c r="G50" t="str">
        <f>IF(NOT(ISERROR(VLOOKUP(UPPER(E50),Tabelle3!A:A,1,FALSE))),"regulär","illegal")</f>
        <v>regulär</v>
      </c>
      <c r="H50" t="str">
        <f t="shared" si="2"/>
        <v>bmi-relative</v>
      </c>
    </row>
    <row r="51" spans="1:8">
      <c r="A51">
        <f t="shared" si="3"/>
        <v>49</v>
      </c>
      <c r="B51" t="str">
        <f t="shared" si="0"/>
        <v>31</v>
      </c>
      <c r="C51" t="str">
        <f t="shared" si="1"/>
        <v>00110001</v>
      </c>
      <c r="D51">
        <v>5</v>
      </c>
      <c r="E51" s="1" t="s">
        <v>26</v>
      </c>
      <c r="F51" t="s">
        <v>17</v>
      </c>
      <c r="G51" t="str">
        <f>IF(NOT(ISERROR(VLOOKUP(UPPER(E51),Tabelle3!A:A,1,FALSE))),"regulär","illegal")</f>
        <v>regulär</v>
      </c>
      <c r="H51" t="str">
        <f t="shared" si="2"/>
        <v>and-indy</v>
      </c>
    </row>
    <row r="52" spans="1:8">
      <c r="A52">
        <f t="shared" si="3"/>
        <v>50</v>
      </c>
      <c r="B52" t="str">
        <f t="shared" si="0"/>
        <v>32</v>
      </c>
      <c r="C52" t="str">
        <f t="shared" si="1"/>
        <v>00110010</v>
      </c>
      <c r="D52">
        <v>3</v>
      </c>
      <c r="E52" s="1" t="s">
        <v>26</v>
      </c>
      <c r="F52" t="s">
        <v>18</v>
      </c>
      <c r="G52" t="str">
        <f>IF(NOT(ISERROR(VLOOKUP(UPPER(E52),Tabelle3!A:A,1,FALSE))),"regulär","illegal")</f>
        <v>regulär</v>
      </c>
      <c r="H52" t="str">
        <f t="shared" si="2"/>
        <v>and-indzp</v>
      </c>
    </row>
    <row r="53" spans="1:8">
      <c r="A53">
        <f t="shared" si="3"/>
        <v>51</v>
      </c>
      <c r="B53" t="str">
        <f t="shared" si="0"/>
        <v>33</v>
      </c>
      <c r="C53" t="str">
        <f t="shared" si="1"/>
        <v>00110011</v>
      </c>
      <c r="D53">
        <v>2</v>
      </c>
      <c r="E53" s="1" t="s">
        <v>7</v>
      </c>
      <c r="F53" t="s">
        <v>4</v>
      </c>
      <c r="G53" t="str">
        <f>IF(NOT(ISERROR(VLOOKUP(UPPER(E53),Tabelle3!A:A,1,FALSE))),"regulär","illegal")</f>
        <v>regulär</v>
      </c>
      <c r="H53" t="str">
        <f t="shared" si="2"/>
        <v>nop-implied</v>
      </c>
    </row>
    <row r="54" spans="1:8">
      <c r="A54">
        <f t="shared" si="3"/>
        <v>52</v>
      </c>
      <c r="B54" t="str">
        <f t="shared" si="0"/>
        <v>34</v>
      </c>
      <c r="C54" t="str">
        <f t="shared" si="1"/>
        <v>00110100</v>
      </c>
      <c r="D54">
        <v>4</v>
      </c>
      <c r="E54" s="1" t="s">
        <v>27</v>
      </c>
      <c r="F54" t="s">
        <v>20</v>
      </c>
      <c r="G54" t="str">
        <f>IF(NOT(ISERROR(VLOOKUP(UPPER(E54),Tabelle3!A:A,1,FALSE))),"regulär","illegal")</f>
        <v>regulär</v>
      </c>
      <c r="H54" t="str">
        <f t="shared" si="2"/>
        <v>bit-zpx</v>
      </c>
    </row>
    <row r="55" spans="1:8">
      <c r="A55">
        <f t="shared" si="3"/>
        <v>53</v>
      </c>
      <c r="B55" t="str">
        <f t="shared" si="0"/>
        <v>35</v>
      </c>
      <c r="C55" t="str">
        <f t="shared" si="1"/>
        <v>00110101</v>
      </c>
      <c r="D55">
        <v>4</v>
      </c>
      <c r="E55" s="1" t="s">
        <v>26</v>
      </c>
      <c r="F55" t="s">
        <v>20</v>
      </c>
      <c r="G55" t="str">
        <f>IF(NOT(ISERROR(VLOOKUP(UPPER(E55),Tabelle3!A:A,1,FALSE))),"regulär","illegal")</f>
        <v>regulär</v>
      </c>
      <c r="H55" t="str">
        <f t="shared" si="2"/>
        <v>and-zpx</v>
      </c>
    </row>
    <row r="56" spans="1:8">
      <c r="A56">
        <f t="shared" si="3"/>
        <v>54</v>
      </c>
      <c r="B56" t="str">
        <f t="shared" si="0"/>
        <v>36</v>
      </c>
      <c r="C56" t="str">
        <f t="shared" si="1"/>
        <v>00110110</v>
      </c>
      <c r="D56">
        <v>6</v>
      </c>
      <c r="E56" s="1" t="s">
        <v>28</v>
      </c>
      <c r="F56" t="s">
        <v>20</v>
      </c>
      <c r="G56" t="str">
        <f>IF(NOT(ISERROR(VLOOKUP(UPPER(E56),Tabelle3!A:A,1,FALSE))),"regulär","illegal")</f>
        <v>regulär</v>
      </c>
      <c r="H56" t="str">
        <f t="shared" si="2"/>
        <v>rol-zpx</v>
      </c>
    </row>
    <row r="57" spans="1:8">
      <c r="A57">
        <f t="shared" si="3"/>
        <v>55</v>
      </c>
      <c r="B57" t="str">
        <f t="shared" si="0"/>
        <v>37</v>
      </c>
      <c r="C57" t="str">
        <f t="shared" si="1"/>
        <v>00110111</v>
      </c>
      <c r="D57">
        <v>2</v>
      </c>
      <c r="E57" s="1" t="s">
        <v>7</v>
      </c>
      <c r="F57" t="s">
        <v>4</v>
      </c>
      <c r="G57" t="str">
        <f>IF(NOT(ISERROR(VLOOKUP(UPPER(E57),Tabelle3!A:A,1,FALSE))),"regulär","illegal")</f>
        <v>regulär</v>
      </c>
      <c r="H57" t="str">
        <f t="shared" si="2"/>
        <v>nop-implied</v>
      </c>
    </row>
    <row r="58" spans="1:8">
      <c r="A58">
        <f t="shared" si="3"/>
        <v>56</v>
      </c>
      <c r="B58" t="str">
        <f t="shared" si="0"/>
        <v>38</v>
      </c>
      <c r="C58" t="str">
        <f t="shared" si="1"/>
        <v>00111000</v>
      </c>
      <c r="D58">
        <v>2</v>
      </c>
      <c r="E58" s="1" t="s">
        <v>32</v>
      </c>
      <c r="F58" t="s">
        <v>4</v>
      </c>
      <c r="G58" t="str">
        <f>IF(NOT(ISERROR(VLOOKUP(UPPER(E58),Tabelle3!A:A,1,FALSE))),"regulär","illegal")</f>
        <v>regulär</v>
      </c>
      <c r="H58" t="str">
        <f t="shared" si="2"/>
        <v>sec-implied</v>
      </c>
    </row>
    <row r="59" spans="1:8">
      <c r="A59">
        <f t="shared" si="3"/>
        <v>57</v>
      </c>
      <c r="B59" t="str">
        <f t="shared" si="0"/>
        <v>39</v>
      </c>
      <c r="C59" t="str">
        <f t="shared" si="1"/>
        <v>00111001</v>
      </c>
      <c r="D59">
        <v>4</v>
      </c>
      <c r="E59" s="1" t="s">
        <v>26</v>
      </c>
      <c r="F59" t="s">
        <v>22</v>
      </c>
      <c r="G59" t="str">
        <f>IF(NOT(ISERROR(VLOOKUP(UPPER(E59),Tabelle3!A:A,1,FALSE))),"regulär","illegal")</f>
        <v>regulär</v>
      </c>
      <c r="H59" t="str">
        <f t="shared" si="2"/>
        <v>and-absy</v>
      </c>
    </row>
    <row r="60" spans="1:8">
      <c r="A60">
        <f t="shared" si="3"/>
        <v>58</v>
      </c>
      <c r="B60" t="str">
        <f t="shared" si="0"/>
        <v>3A</v>
      </c>
      <c r="C60" t="str">
        <f t="shared" si="1"/>
        <v>00111010</v>
      </c>
      <c r="D60">
        <v>2</v>
      </c>
      <c r="E60" s="1" t="s">
        <v>33</v>
      </c>
      <c r="F60" t="s">
        <v>4</v>
      </c>
      <c r="G60" t="str">
        <f>IF(NOT(ISERROR(VLOOKUP(UPPER(E60),Tabelle3!A:A,1,FALSE))),"regulär","illegal")</f>
        <v>illegal</v>
      </c>
      <c r="H60" t="str">
        <f t="shared" si="2"/>
        <v>dea-implied</v>
      </c>
    </row>
    <row r="61" spans="1:8">
      <c r="A61">
        <f t="shared" si="3"/>
        <v>59</v>
      </c>
      <c r="B61" t="str">
        <f t="shared" si="0"/>
        <v>3B</v>
      </c>
      <c r="C61" t="str">
        <f t="shared" si="1"/>
        <v>00111011</v>
      </c>
      <c r="D61">
        <v>2</v>
      </c>
      <c r="E61" s="1" t="s">
        <v>7</v>
      </c>
      <c r="F61" t="s">
        <v>4</v>
      </c>
      <c r="G61" t="str">
        <f>IF(NOT(ISERROR(VLOOKUP(UPPER(E61),Tabelle3!A:A,1,FALSE))),"regulär","illegal")</f>
        <v>regulär</v>
      </c>
      <c r="H61" t="str">
        <f t="shared" si="2"/>
        <v>nop-implied</v>
      </c>
    </row>
    <row r="62" spans="1:8">
      <c r="A62">
        <f t="shared" si="3"/>
        <v>60</v>
      </c>
      <c r="B62" t="str">
        <f t="shared" si="0"/>
        <v>3C</v>
      </c>
      <c r="C62" t="str">
        <f t="shared" si="1"/>
        <v>00111100</v>
      </c>
      <c r="D62">
        <v>4</v>
      </c>
      <c r="E62" s="1" t="s">
        <v>27</v>
      </c>
      <c r="F62" t="s">
        <v>24</v>
      </c>
      <c r="G62" t="str">
        <f>IF(NOT(ISERROR(VLOOKUP(UPPER(E62),Tabelle3!A:A,1,FALSE))),"regulär","illegal")</f>
        <v>regulär</v>
      </c>
      <c r="H62" t="str">
        <f t="shared" si="2"/>
        <v>bit-absx</v>
      </c>
    </row>
    <row r="63" spans="1:8">
      <c r="A63">
        <f t="shared" si="3"/>
        <v>61</v>
      </c>
      <c r="B63" t="str">
        <f t="shared" si="0"/>
        <v>3D</v>
      </c>
      <c r="C63" t="str">
        <f t="shared" si="1"/>
        <v>00111101</v>
      </c>
      <c r="D63">
        <v>4</v>
      </c>
      <c r="E63" s="1" t="s">
        <v>26</v>
      </c>
      <c r="F63" t="s">
        <v>24</v>
      </c>
      <c r="G63" t="str">
        <f>IF(NOT(ISERROR(VLOOKUP(UPPER(E63),Tabelle3!A:A,1,FALSE))),"regulär","illegal")</f>
        <v>regulär</v>
      </c>
      <c r="H63" t="str">
        <f t="shared" si="2"/>
        <v>and-absx</v>
      </c>
    </row>
    <row r="64" spans="1:8">
      <c r="A64">
        <f t="shared" si="3"/>
        <v>62</v>
      </c>
      <c r="B64" t="str">
        <f t="shared" si="0"/>
        <v>3E</v>
      </c>
      <c r="C64" t="str">
        <f t="shared" si="1"/>
        <v>00111110</v>
      </c>
      <c r="D64">
        <v>7</v>
      </c>
      <c r="E64" s="1" t="s">
        <v>28</v>
      </c>
      <c r="F64" t="s">
        <v>24</v>
      </c>
      <c r="G64" t="str">
        <f>IF(NOT(ISERROR(VLOOKUP(UPPER(E64),Tabelle3!A:A,1,FALSE))),"regulär","illegal")</f>
        <v>regulär</v>
      </c>
      <c r="H64" t="str">
        <f t="shared" si="2"/>
        <v>rol-absx</v>
      </c>
    </row>
    <row r="65" spans="1:8">
      <c r="A65">
        <f t="shared" si="3"/>
        <v>63</v>
      </c>
      <c r="B65" t="str">
        <f t="shared" si="0"/>
        <v>3F</v>
      </c>
      <c r="C65" t="str">
        <f t="shared" si="1"/>
        <v>00111111</v>
      </c>
      <c r="D65">
        <v>2</v>
      </c>
      <c r="E65" s="1" t="s">
        <v>7</v>
      </c>
      <c r="F65" t="s">
        <v>4</v>
      </c>
      <c r="G65" t="str">
        <f>IF(NOT(ISERROR(VLOOKUP(UPPER(E65),Tabelle3!A:A,1,FALSE))),"regulär","illegal")</f>
        <v>regulär</v>
      </c>
      <c r="H65" t="str">
        <f t="shared" si="2"/>
        <v>nop-implied</v>
      </c>
    </row>
    <row r="66" spans="1:8">
      <c r="A66">
        <f t="shared" si="3"/>
        <v>64</v>
      </c>
      <c r="B66" t="str">
        <f t="shared" si="0"/>
        <v>40</v>
      </c>
      <c r="C66" t="str">
        <f t="shared" si="1"/>
        <v>01000000</v>
      </c>
      <c r="D66">
        <v>6</v>
      </c>
      <c r="E66" s="1" t="s">
        <v>34</v>
      </c>
      <c r="F66" t="s">
        <v>4</v>
      </c>
      <c r="G66" t="str">
        <f>IF(NOT(ISERROR(VLOOKUP(UPPER(E66),Tabelle3!A:A,1,FALSE))),"regulär","illegal")</f>
        <v>regulär</v>
      </c>
      <c r="H66" t="str">
        <f t="shared" si="2"/>
        <v>rti-implied</v>
      </c>
    </row>
    <row r="67" spans="1:8">
      <c r="A67">
        <f t="shared" si="3"/>
        <v>65</v>
      </c>
      <c r="B67" t="str">
        <f t="shared" ref="B67:B130" si="4">DEC2HEX(A67,2)</f>
        <v>41</v>
      </c>
      <c r="C67" t="str">
        <f t="shared" ref="C67:C130" si="5">DEC2BIN(A67,8)</f>
        <v>01000001</v>
      </c>
      <c r="D67">
        <v>6</v>
      </c>
      <c r="E67" s="1" t="s">
        <v>35</v>
      </c>
      <c r="F67" t="s">
        <v>6</v>
      </c>
      <c r="G67" t="str">
        <f>IF(NOT(ISERROR(VLOOKUP(UPPER(E67),Tabelle3!A:A,1,FALSE))),"regulär","illegal")</f>
        <v>regulär</v>
      </c>
      <c r="H67" t="str">
        <f t="shared" ref="H67:H130" si="6">E67&amp;"-"&amp;F67</f>
        <v>eor-indx</v>
      </c>
    </row>
    <row r="68" spans="1:8">
      <c r="A68">
        <f t="shared" ref="A68:A131" si="7">A67+1</f>
        <v>66</v>
      </c>
      <c r="B68" t="str">
        <f t="shared" si="4"/>
        <v>42</v>
      </c>
      <c r="C68" t="str">
        <f t="shared" si="5"/>
        <v>01000010</v>
      </c>
      <c r="D68">
        <v>2</v>
      </c>
      <c r="E68" s="1" t="s">
        <v>7</v>
      </c>
      <c r="F68" t="s">
        <v>4</v>
      </c>
      <c r="G68" t="str">
        <f>IF(NOT(ISERROR(VLOOKUP(UPPER(E68),Tabelle3!A:A,1,FALSE))),"regulär","illegal")</f>
        <v>regulär</v>
      </c>
      <c r="H68" t="str">
        <f t="shared" si="6"/>
        <v>nop-implied</v>
      </c>
    </row>
    <row r="69" spans="1:8">
      <c r="A69">
        <f t="shared" si="7"/>
        <v>67</v>
      </c>
      <c r="B69" t="str">
        <f t="shared" si="4"/>
        <v>43</v>
      </c>
      <c r="C69" t="str">
        <f t="shared" si="5"/>
        <v>01000011</v>
      </c>
      <c r="D69">
        <v>2</v>
      </c>
      <c r="E69" s="1" t="s">
        <v>7</v>
      </c>
      <c r="F69" t="s">
        <v>4</v>
      </c>
      <c r="G69" t="str">
        <f>IF(NOT(ISERROR(VLOOKUP(UPPER(E69),Tabelle3!A:A,1,FALSE))),"regulär","illegal")</f>
        <v>regulär</v>
      </c>
      <c r="H69" t="str">
        <f t="shared" si="6"/>
        <v>nop-implied</v>
      </c>
    </row>
    <row r="70" spans="1:8">
      <c r="A70">
        <f t="shared" si="7"/>
        <v>68</v>
      </c>
      <c r="B70" t="str">
        <f t="shared" si="4"/>
        <v>44</v>
      </c>
      <c r="C70" t="str">
        <f t="shared" si="5"/>
        <v>01000100</v>
      </c>
      <c r="D70">
        <v>2</v>
      </c>
      <c r="E70" s="1" t="s">
        <v>7</v>
      </c>
      <c r="F70" t="s">
        <v>4</v>
      </c>
      <c r="G70" t="str">
        <f>IF(NOT(ISERROR(VLOOKUP(UPPER(E70),Tabelle3!A:A,1,FALSE))),"regulär","illegal")</f>
        <v>regulär</v>
      </c>
      <c r="H70" t="str">
        <f t="shared" si="6"/>
        <v>nop-implied</v>
      </c>
    </row>
    <row r="71" spans="1:8">
      <c r="A71">
        <f t="shared" si="7"/>
        <v>69</v>
      </c>
      <c r="B71" t="str">
        <f t="shared" si="4"/>
        <v>45</v>
      </c>
      <c r="C71" t="str">
        <f t="shared" si="5"/>
        <v>01000101</v>
      </c>
      <c r="D71">
        <v>3</v>
      </c>
      <c r="E71" s="1" t="s">
        <v>35</v>
      </c>
      <c r="F71" t="s">
        <v>9</v>
      </c>
      <c r="G71" t="str">
        <f>IF(NOT(ISERROR(VLOOKUP(UPPER(E71),Tabelle3!A:A,1,FALSE))),"regulär","illegal")</f>
        <v>regulär</v>
      </c>
      <c r="H71" t="str">
        <f t="shared" si="6"/>
        <v>eor-zp</v>
      </c>
    </row>
    <row r="72" spans="1:8">
      <c r="A72">
        <f t="shared" si="7"/>
        <v>70</v>
      </c>
      <c r="B72" t="str">
        <f t="shared" si="4"/>
        <v>46</v>
      </c>
      <c r="C72" t="str">
        <f t="shared" si="5"/>
        <v>01000110</v>
      </c>
      <c r="D72">
        <v>5</v>
      </c>
      <c r="E72" s="1" t="s">
        <v>36</v>
      </c>
      <c r="F72" t="s">
        <v>9</v>
      </c>
      <c r="G72" t="str">
        <f>IF(NOT(ISERROR(VLOOKUP(UPPER(E72),Tabelle3!A:A,1,FALSE))),"regulär","illegal")</f>
        <v>regulär</v>
      </c>
      <c r="H72" t="str">
        <f t="shared" si="6"/>
        <v>lsr-zp</v>
      </c>
    </row>
    <row r="73" spans="1:8">
      <c r="A73">
        <f t="shared" si="7"/>
        <v>71</v>
      </c>
      <c r="B73" t="str">
        <f t="shared" si="4"/>
        <v>47</v>
      </c>
      <c r="C73" t="str">
        <f t="shared" si="5"/>
        <v>01000111</v>
      </c>
      <c r="D73">
        <v>2</v>
      </c>
      <c r="E73" s="1" t="s">
        <v>7</v>
      </c>
      <c r="F73" t="s">
        <v>4</v>
      </c>
      <c r="G73" t="str">
        <f>IF(NOT(ISERROR(VLOOKUP(UPPER(E73),Tabelle3!A:A,1,FALSE))),"regulär","illegal")</f>
        <v>regulär</v>
      </c>
      <c r="H73" t="str">
        <f t="shared" si="6"/>
        <v>nop-implied</v>
      </c>
    </row>
    <row r="74" spans="1:8">
      <c r="A74">
        <f t="shared" si="7"/>
        <v>72</v>
      </c>
      <c r="B74" t="str">
        <f t="shared" si="4"/>
        <v>48</v>
      </c>
      <c r="C74" t="str">
        <f t="shared" si="5"/>
        <v>01001000</v>
      </c>
      <c r="D74">
        <v>3</v>
      </c>
      <c r="E74" s="1" t="s">
        <v>37</v>
      </c>
      <c r="F74" t="s">
        <v>4</v>
      </c>
      <c r="G74" t="str">
        <f>IF(NOT(ISERROR(VLOOKUP(UPPER(E74),Tabelle3!A:A,1,FALSE))),"regulär","illegal")</f>
        <v>regulär</v>
      </c>
      <c r="H74" t="str">
        <f t="shared" si="6"/>
        <v>pha-implied</v>
      </c>
    </row>
    <row r="75" spans="1:8">
      <c r="A75">
        <f t="shared" si="7"/>
        <v>73</v>
      </c>
      <c r="B75" t="str">
        <f t="shared" si="4"/>
        <v>49</v>
      </c>
      <c r="C75" t="str">
        <f t="shared" si="5"/>
        <v>01001001</v>
      </c>
      <c r="D75">
        <v>3</v>
      </c>
      <c r="E75" s="1" t="s">
        <v>35</v>
      </c>
      <c r="F75" t="s">
        <v>12</v>
      </c>
      <c r="G75" t="str">
        <f>IF(NOT(ISERROR(VLOOKUP(UPPER(E75),Tabelle3!A:A,1,FALSE))),"regulär","illegal")</f>
        <v>regulär</v>
      </c>
      <c r="H75" t="str">
        <f t="shared" si="6"/>
        <v>eor-immediate</v>
      </c>
    </row>
    <row r="76" spans="1:8">
      <c r="A76">
        <f t="shared" si="7"/>
        <v>74</v>
      </c>
      <c r="B76" t="str">
        <f t="shared" si="4"/>
        <v>4A</v>
      </c>
      <c r="C76" t="str">
        <f t="shared" si="5"/>
        <v>01001010</v>
      </c>
      <c r="D76">
        <v>2</v>
      </c>
      <c r="E76" s="1" t="s">
        <v>38</v>
      </c>
      <c r="F76" t="s">
        <v>4</v>
      </c>
      <c r="G76" t="str">
        <f>IF(NOT(ISERROR(VLOOKUP(UPPER(E76),Tabelle3!A:A,1,FALSE))),"regulär","illegal")</f>
        <v>illegal</v>
      </c>
      <c r="H76" t="str">
        <f t="shared" si="6"/>
        <v>lsra-implied</v>
      </c>
    </row>
    <row r="77" spans="1:8">
      <c r="A77">
        <f t="shared" si="7"/>
        <v>75</v>
      </c>
      <c r="B77" t="str">
        <f t="shared" si="4"/>
        <v>4B</v>
      </c>
      <c r="C77" t="str">
        <f t="shared" si="5"/>
        <v>01001011</v>
      </c>
      <c r="D77">
        <v>2</v>
      </c>
      <c r="E77" s="1" t="s">
        <v>7</v>
      </c>
      <c r="F77" t="s">
        <v>4</v>
      </c>
      <c r="G77" t="str">
        <f>IF(NOT(ISERROR(VLOOKUP(UPPER(E77),Tabelle3!A:A,1,FALSE))),"regulär","illegal")</f>
        <v>regulär</v>
      </c>
      <c r="H77" t="str">
        <f t="shared" si="6"/>
        <v>nop-implied</v>
      </c>
    </row>
    <row r="78" spans="1:8">
      <c r="A78">
        <f t="shared" si="7"/>
        <v>76</v>
      </c>
      <c r="B78" t="str">
        <f t="shared" si="4"/>
        <v>4C</v>
      </c>
      <c r="C78" t="str">
        <f t="shared" si="5"/>
        <v>01001100</v>
      </c>
      <c r="D78">
        <v>3</v>
      </c>
      <c r="E78" s="1" t="s">
        <v>39</v>
      </c>
      <c r="F78" t="s">
        <v>14</v>
      </c>
      <c r="G78" t="str">
        <f>IF(NOT(ISERROR(VLOOKUP(UPPER(E78),Tabelle3!A:A,1,FALSE))),"regulär","illegal")</f>
        <v>regulär</v>
      </c>
      <c r="H78" t="str">
        <f t="shared" si="6"/>
        <v>jmp-abs</v>
      </c>
    </row>
    <row r="79" spans="1:8">
      <c r="A79">
        <f t="shared" si="7"/>
        <v>77</v>
      </c>
      <c r="B79" t="str">
        <f t="shared" si="4"/>
        <v>4D</v>
      </c>
      <c r="C79" t="str">
        <f t="shared" si="5"/>
        <v>01001101</v>
      </c>
      <c r="D79">
        <v>4</v>
      </c>
      <c r="E79" s="1" t="s">
        <v>35</v>
      </c>
      <c r="F79" t="s">
        <v>14</v>
      </c>
      <c r="G79" t="str">
        <f>IF(NOT(ISERROR(VLOOKUP(UPPER(E79),Tabelle3!A:A,1,FALSE))),"regulär","illegal")</f>
        <v>regulär</v>
      </c>
      <c r="H79" t="str">
        <f t="shared" si="6"/>
        <v>eor-abs</v>
      </c>
    </row>
    <row r="80" spans="1:8">
      <c r="A80">
        <f t="shared" si="7"/>
        <v>78</v>
      </c>
      <c r="B80" t="str">
        <f t="shared" si="4"/>
        <v>4E</v>
      </c>
      <c r="C80" t="str">
        <f t="shared" si="5"/>
        <v>01001110</v>
      </c>
      <c r="D80">
        <v>6</v>
      </c>
      <c r="E80" s="1" t="s">
        <v>36</v>
      </c>
      <c r="F80" t="s">
        <v>14</v>
      </c>
      <c r="G80" t="str">
        <f>IF(NOT(ISERROR(VLOOKUP(UPPER(E80),Tabelle3!A:A,1,FALSE))),"regulär","illegal")</f>
        <v>regulär</v>
      </c>
      <c r="H80" t="str">
        <f t="shared" si="6"/>
        <v>lsr-abs</v>
      </c>
    </row>
    <row r="81" spans="1:8">
      <c r="A81">
        <f t="shared" si="7"/>
        <v>79</v>
      </c>
      <c r="B81" t="str">
        <f t="shared" si="4"/>
        <v>4F</v>
      </c>
      <c r="C81" t="str">
        <f t="shared" si="5"/>
        <v>01001111</v>
      </c>
      <c r="D81">
        <v>2</v>
      </c>
      <c r="E81" s="1" t="s">
        <v>7</v>
      </c>
      <c r="F81" t="s">
        <v>4</v>
      </c>
      <c r="G81" t="str">
        <f>IF(NOT(ISERROR(VLOOKUP(UPPER(E81),Tabelle3!A:A,1,FALSE))),"regulär","illegal")</f>
        <v>regulär</v>
      </c>
      <c r="H81" t="str">
        <f t="shared" si="6"/>
        <v>nop-implied</v>
      </c>
    </row>
    <row r="82" spans="1:8">
      <c r="A82">
        <f t="shared" si="7"/>
        <v>80</v>
      </c>
      <c r="B82" t="str">
        <f t="shared" si="4"/>
        <v>50</v>
      </c>
      <c r="C82" t="str">
        <f t="shared" si="5"/>
        <v>01010000</v>
      </c>
      <c r="D82">
        <v>2</v>
      </c>
      <c r="E82" s="1" t="s">
        <v>40</v>
      </c>
      <c r="F82" t="s">
        <v>16</v>
      </c>
      <c r="G82" t="str">
        <f>IF(NOT(ISERROR(VLOOKUP(UPPER(E82),Tabelle3!A:A,1,FALSE))),"regulär","illegal")</f>
        <v>regulär</v>
      </c>
      <c r="H82" t="str">
        <f t="shared" si="6"/>
        <v>bvc-relative</v>
      </c>
    </row>
    <row r="83" spans="1:8">
      <c r="A83">
        <f t="shared" si="7"/>
        <v>81</v>
      </c>
      <c r="B83" t="str">
        <f t="shared" si="4"/>
        <v>51</v>
      </c>
      <c r="C83" t="str">
        <f t="shared" si="5"/>
        <v>01010001</v>
      </c>
      <c r="D83">
        <v>5</v>
      </c>
      <c r="E83" s="1" t="s">
        <v>35</v>
      </c>
      <c r="F83" t="s">
        <v>17</v>
      </c>
      <c r="G83" t="str">
        <f>IF(NOT(ISERROR(VLOOKUP(UPPER(E83),Tabelle3!A:A,1,FALSE))),"regulär","illegal")</f>
        <v>regulär</v>
      </c>
      <c r="H83" t="str">
        <f t="shared" si="6"/>
        <v>eor-indy</v>
      </c>
    </row>
    <row r="84" spans="1:8">
      <c r="A84">
        <f t="shared" si="7"/>
        <v>82</v>
      </c>
      <c r="B84" t="str">
        <f t="shared" si="4"/>
        <v>52</v>
      </c>
      <c r="C84" t="str">
        <f t="shared" si="5"/>
        <v>01010010</v>
      </c>
      <c r="D84">
        <v>3</v>
      </c>
      <c r="E84" s="1" t="s">
        <v>35</v>
      </c>
      <c r="F84" t="s">
        <v>18</v>
      </c>
      <c r="G84" t="str">
        <f>IF(NOT(ISERROR(VLOOKUP(UPPER(E84),Tabelle3!A:A,1,FALSE))),"regulär","illegal")</f>
        <v>regulär</v>
      </c>
      <c r="H84" t="str">
        <f t="shared" si="6"/>
        <v>eor-indzp</v>
      </c>
    </row>
    <row r="85" spans="1:8">
      <c r="A85">
        <f t="shared" si="7"/>
        <v>83</v>
      </c>
      <c r="B85" t="str">
        <f t="shared" si="4"/>
        <v>53</v>
      </c>
      <c r="C85" t="str">
        <f t="shared" si="5"/>
        <v>01010011</v>
      </c>
      <c r="D85">
        <v>2</v>
      </c>
      <c r="E85" s="1" t="s">
        <v>7</v>
      </c>
      <c r="F85" t="s">
        <v>4</v>
      </c>
      <c r="G85" t="str">
        <f>IF(NOT(ISERROR(VLOOKUP(UPPER(E85),Tabelle3!A:A,1,FALSE))),"regulär","illegal")</f>
        <v>regulär</v>
      </c>
      <c r="H85" t="str">
        <f t="shared" si="6"/>
        <v>nop-implied</v>
      </c>
    </row>
    <row r="86" spans="1:8">
      <c r="A86">
        <f t="shared" si="7"/>
        <v>84</v>
      </c>
      <c r="B86" t="str">
        <f t="shared" si="4"/>
        <v>54</v>
      </c>
      <c r="C86" t="str">
        <f t="shared" si="5"/>
        <v>01010100</v>
      </c>
      <c r="D86">
        <v>2</v>
      </c>
      <c r="E86" s="1" t="s">
        <v>7</v>
      </c>
      <c r="F86" t="s">
        <v>4</v>
      </c>
      <c r="G86" t="str">
        <f>IF(NOT(ISERROR(VLOOKUP(UPPER(E86),Tabelle3!A:A,1,FALSE))),"regulär","illegal")</f>
        <v>regulär</v>
      </c>
      <c r="H86" t="str">
        <f t="shared" si="6"/>
        <v>nop-implied</v>
      </c>
    </row>
    <row r="87" spans="1:8">
      <c r="A87">
        <f t="shared" si="7"/>
        <v>85</v>
      </c>
      <c r="B87" t="str">
        <f t="shared" si="4"/>
        <v>55</v>
      </c>
      <c r="C87" t="str">
        <f t="shared" si="5"/>
        <v>01010101</v>
      </c>
      <c r="D87">
        <v>4</v>
      </c>
      <c r="E87" s="1" t="s">
        <v>35</v>
      </c>
      <c r="F87" t="s">
        <v>20</v>
      </c>
      <c r="G87" t="str">
        <f>IF(NOT(ISERROR(VLOOKUP(UPPER(E87),Tabelle3!A:A,1,FALSE))),"regulär","illegal")</f>
        <v>regulär</v>
      </c>
      <c r="H87" t="str">
        <f t="shared" si="6"/>
        <v>eor-zpx</v>
      </c>
    </row>
    <row r="88" spans="1:8">
      <c r="A88">
        <f t="shared" si="7"/>
        <v>86</v>
      </c>
      <c r="B88" t="str">
        <f t="shared" si="4"/>
        <v>56</v>
      </c>
      <c r="C88" t="str">
        <f t="shared" si="5"/>
        <v>01010110</v>
      </c>
      <c r="D88">
        <v>6</v>
      </c>
      <c r="E88" s="1" t="s">
        <v>36</v>
      </c>
      <c r="F88" t="s">
        <v>20</v>
      </c>
      <c r="G88" t="str">
        <f>IF(NOT(ISERROR(VLOOKUP(UPPER(E88),Tabelle3!A:A,1,FALSE))),"regulär","illegal")</f>
        <v>regulär</v>
      </c>
      <c r="H88" t="str">
        <f t="shared" si="6"/>
        <v>lsr-zpx</v>
      </c>
    </row>
    <row r="89" spans="1:8">
      <c r="A89">
        <f t="shared" si="7"/>
        <v>87</v>
      </c>
      <c r="B89" t="str">
        <f t="shared" si="4"/>
        <v>57</v>
      </c>
      <c r="C89" t="str">
        <f t="shared" si="5"/>
        <v>01010111</v>
      </c>
      <c r="D89">
        <v>2</v>
      </c>
      <c r="E89" s="1" t="s">
        <v>7</v>
      </c>
      <c r="F89" t="s">
        <v>4</v>
      </c>
      <c r="G89" t="str">
        <f>IF(NOT(ISERROR(VLOOKUP(UPPER(E89),Tabelle3!A:A,1,FALSE))),"regulär","illegal")</f>
        <v>regulär</v>
      </c>
      <c r="H89" t="str">
        <f t="shared" si="6"/>
        <v>nop-implied</v>
      </c>
    </row>
    <row r="90" spans="1:8">
      <c r="A90">
        <f t="shared" si="7"/>
        <v>88</v>
      </c>
      <c r="B90" t="str">
        <f t="shared" si="4"/>
        <v>58</v>
      </c>
      <c r="C90" t="str">
        <f t="shared" si="5"/>
        <v>01011000</v>
      </c>
      <c r="D90">
        <v>2</v>
      </c>
      <c r="E90" s="1" t="s">
        <v>41</v>
      </c>
      <c r="F90" t="s">
        <v>4</v>
      </c>
      <c r="G90" t="str">
        <f>IF(NOT(ISERROR(VLOOKUP(UPPER(E90),Tabelle3!A:A,1,FALSE))),"regulär","illegal")</f>
        <v>regulär</v>
      </c>
      <c r="H90" t="str">
        <f t="shared" si="6"/>
        <v>cli-implied</v>
      </c>
    </row>
    <row r="91" spans="1:8">
      <c r="A91">
        <f t="shared" si="7"/>
        <v>89</v>
      </c>
      <c r="B91" t="str">
        <f t="shared" si="4"/>
        <v>59</v>
      </c>
      <c r="C91" t="str">
        <f t="shared" si="5"/>
        <v>01011001</v>
      </c>
      <c r="D91">
        <v>4</v>
      </c>
      <c r="E91" s="1" t="s">
        <v>35</v>
      </c>
      <c r="F91" t="s">
        <v>22</v>
      </c>
      <c r="G91" t="str">
        <f>IF(NOT(ISERROR(VLOOKUP(UPPER(E91),Tabelle3!A:A,1,FALSE))),"regulär","illegal")</f>
        <v>regulär</v>
      </c>
      <c r="H91" t="str">
        <f t="shared" si="6"/>
        <v>eor-absy</v>
      </c>
    </row>
    <row r="92" spans="1:8">
      <c r="A92">
        <f t="shared" si="7"/>
        <v>90</v>
      </c>
      <c r="B92" t="str">
        <f t="shared" si="4"/>
        <v>5A</v>
      </c>
      <c r="C92" t="str">
        <f t="shared" si="5"/>
        <v>01011010</v>
      </c>
      <c r="D92">
        <v>3</v>
      </c>
      <c r="E92" s="1" t="s">
        <v>42</v>
      </c>
      <c r="F92" t="s">
        <v>4</v>
      </c>
      <c r="G92" t="str">
        <f>IF(NOT(ISERROR(VLOOKUP(UPPER(E92),Tabelle3!A:A,1,FALSE))),"regulär","illegal")</f>
        <v>illegal</v>
      </c>
      <c r="H92" t="str">
        <f t="shared" si="6"/>
        <v>phy-implied</v>
      </c>
    </row>
    <row r="93" spans="1:8">
      <c r="A93">
        <f t="shared" si="7"/>
        <v>91</v>
      </c>
      <c r="B93" t="str">
        <f t="shared" si="4"/>
        <v>5B</v>
      </c>
      <c r="C93" t="str">
        <f t="shared" si="5"/>
        <v>01011011</v>
      </c>
      <c r="D93">
        <v>2</v>
      </c>
      <c r="E93" s="1" t="s">
        <v>7</v>
      </c>
      <c r="F93" t="s">
        <v>4</v>
      </c>
      <c r="G93" t="str">
        <f>IF(NOT(ISERROR(VLOOKUP(UPPER(E93),Tabelle3!A:A,1,FALSE))),"regulär","illegal")</f>
        <v>regulär</v>
      </c>
      <c r="H93" t="str">
        <f t="shared" si="6"/>
        <v>nop-implied</v>
      </c>
    </row>
    <row r="94" spans="1:8">
      <c r="A94">
        <f t="shared" si="7"/>
        <v>92</v>
      </c>
      <c r="B94" t="str">
        <f t="shared" si="4"/>
        <v>5C</v>
      </c>
      <c r="C94" t="str">
        <f t="shared" si="5"/>
        <v>01011100</v>
      </c>
      <c r="D94">
        <v>2</v>
      </c>
      <c r="E94" s="1" t="s">
        <v>7</v>
      </c>
      <c r="F94" t="s">
        <v>4</v>
      </c>
      <c r="G94" t="str">
        <f>IF(NOT(ISERROR(VLOOKUP(UPPER(E94),Tabelle3!A:A,1,FALSE))),"regulär","illegal")</f>
        <v>regulär</v>
      </c>
      <c r="H94" t="str">
        <f t="shared" si="6"/>
        <v>nop-implied</v>
      </c>
    </row>
    <row r="95" spans="1:8">
      <c r="A95">
        <f t="shared" si="7"/>
        <v>93</v>
      </c>
      <c r="B95" t="str">
        <f t="shared" si="4"/>
        <v>5D</v>
      </c>
      <c r="C95" t="str">
        <f t="shared" si="5"/>
        <v>01011101</v>
      </c>
      <c r="D95">
        <v>4</v>
      </c>
      <c r="E95" s="1" t="s">
        <v>35</v>
      </c>
      <c r="F95" t="s">
        <v>24</v>
      </c>
      <c r="G95" t="str">
        <f>IF(NOT(ISERROR(VLOOKUP(UPPER(E95),Tabelle3!A:A,1,FALSE))),"regulär","illegal")</f>
        <v>regulär</v>
      </c>
      <c r="H95" t="str">
        <f t="shared" si="6"/>
        <v>eor-absx</v>
      </c>
    </row>
    <row r="96" spans="1:8">
      <c r="A96">
        <f t="shared" si="7"/>
        <v>94</v>
      </c>
      <c r="B96" t="str">
        <f t="shared" si="4"/>
        <v>5E</v>
      </c>
      <c r="C96" t="str">
        <f t="shared" si="5"/>
        <v>01011110</v>
      </c>
      <c r="D96">
        <v>7</v>
      </c>
      <c r="E96" s="1" t="s">
        <v>36</v>
      </c>
      <c r="F96" t="s">
        <v>24</v>
      </c>
      <c r="G96" t="str">
        <f>IF(NOT(ISERROR(VLOOKUP(UPPER(E96),Tabelle3!A:A,1,FALSE))),"regulär","illegal")</f>
        <v>regulär</v>
      </c>
      <c r="H96" t="str">
        <f t="shared" si="6"/>
        <v>lsr-absx</v>
      </c>
    </row>
    <row r="97" spans="1:8">
      <c r="A97">
        <f t="shared" si="7"/>
        <v>95</v>
      </c>
      <c r="B97" t="str">
        <f t="shared" si="4"/>
        <v>5F</v>
      </c>
      <c r="C97" t="str">
        <f t="shared" si="5"/>
        <v>01011111</v>
      </c>
      <c r="D97">
        <v>2</v>
      </c>
      <c r="E97" s="1" t="s">
        <v>7</v>
      </c>
      <c r="F97" t="s">
        <v>4</v>
      </c>
      <c r="G97" t="str">
        <f>IF(NOT(ISERROR(VLOOKUP(UPPER(E97),Tabelle3!A:A,1,FALSE))),"regulär","illegal")</f>
        <v>regulär</v>
      </c>
      <c r="H97" t="str">
        <f t="shared" si="6"/>
        <v>nop-implied</v>
      </c>
    </row>
    <row r="98" spans="1:8">
      <c r="A98">
        <f t="shared" si="7"/>
        <v>96</v>
      </c>
      <c r="B98" t="str">
        <f t="shared" si="4"/>
        <v>60</v>
      </c>
      <c r="C98" t="str">
        <f t="shared" si="5"/>
        <v>01100000</v>
      </c>
      <c r="D98">
        <v>6</v>
      </c>
      <c r="E98" s="1" t="s">
        <v>43</v>
      </c>
      <c r="F98" t="s">
        <v>4</v>
      </c>
      <c r="G98" t="str">
        <f>IF(NOT(ISERROR(VLOOKUP(UPPER(E98),Tabelle3!A:A,1,FALSE))),"regulär","illegal")</f>
        <v>regulär</v>
      </c>
      <c r="H98" t="str">
        <f t="shared" si="6"/>
        <v>rts-implied</v>
      </c>
    </row>
    <row r="99" spans="1:8">
      <c r="A99">
        <f t="shared" si="7"/>
        <v>97</v>
      </c>
      <c r="B99" t="str">
        <f t="shared" si="4"/>
        <v>61</v>
      </c>
      <c r="C99" t="str">
        <f t="shared" si="5"/>
        <v>01100001</v>
      </c>
      <c r="D99">
        <v>6</v>
      </c>
      <c r="E99" s="1" t="s">
        <v>44</v>
      </c>
      <c r="F99" t="s">
        <v>6</v>
      </c>
      <c r="G99" t="str">
        <f>IF(NOT(ISERROR(VLOOKUP(UPPER(E99),Tabelle3!A:A,1,FALSE))),"regulär","illegal")</f>
        <v>regulär</v>
      </c>
      <c r="H99" t="str">
        <f t="shared" si="6"/>
        <v>adc-indx</v>
      </c>
    </row>
    <row r="100" spans="1:8">
      <c r="A100">
        <f t="shared" si="7"/>
        <v>98</v>
      </c>
      <c r="B100" t="str">
        <f t="shared" si="4"/>
        <v>62</v>
      </c>
      <c r="C100" t="str">
        <f t="shared" si="5"/>
        <v>01100010</v>
      </c>
      <c r="D100">
        <v>2</v>
      </c>
      <c r="E100" s="1" t="s">
        <v>7</v>
      </c>
      <c r="F100" t="s">
        <v>4</v>
      </c>
      <c r="G100" t="str">
        <f>IF(NOT(ISERROR(VLOOKUP(UPPER(E100),Tabelle3!A:A,1,FALSE))),"regulär","illegal")</f>
        <v>regulär</v>
      </c>
      <c r="H100" t="str">
        <f t="shared" si="6"/>
        <v>nop-implied</v>
      </c>
    </row>
    <row r="101" spans="1:8">
      <c r="A101">
        <f t="shared" si="7"/>
        <v>99</v>
      </c>
      <c r="B101" t="str">
        <f t="shared" si="4"/>
        <v>63</v>
      </c>
      <c r="C101" t="str">
        <f t="shared" si="5"/>
        <v>01100011</v>
      </c>
      <c r="D101">
        <v>2</v>
      </c>
      <c r="E101" s="1" t="s">
        <v>7</v>
      </c>
      <c r="F101" t="s">
        <v>4</v>
      </c>
      <c r="G101" t="str">
        <f>IF(NOT(ISERROR(VLOOKUP(UPPER(E101),Tabelle3!A:A,1,FALSE))),"regulär","illegal")</f>
        <v>regulär</v>
      </c>
      <c r="H101" t="str">
        <f t="shared" si="6"/>
        <v>nop-implied</v>
      </c>
    </row>
    <row r="102" spans="1:8">
      <c r="A102">
        <f t="shared" si="7"/>
        <v>100</v>
      </c>
      <c r="B102" t="str">
        <f t="shared" si="4"/>
        <v>64</v>
      </c>
      <c r="C102" t="str">
        <f t="shared" si="5"/>
        <v>01100100</v>
      </c>
      <c r="D102">
        <v>3</v>
      </c>
      <c r="E102" s="1" t="s">
        <v>45</v>
      </c>
      <c r="F102" t="s">
        <v>9</v>
      </c>
      <c r="G102" t="str">
        <f>IF(NOT(ISERROR(VLOOKUP(UPPER(E102),Tabelle3!A:A,1,FALSE))),"regulär","illegal")</f>
        <v>illegal</v>
      </c>
      <c r="H102" t="str">
        <f t="shared" si="6"/>
        <v>stz-zp</v>
      </c>
    </row>
    <row r="103" spans="1:8">
      <c r="A103">
        <f t="shared" si="7"/>
        <v>101</v>
      </c>
      <c r="B103" t="str">
        <f t="shared" si="4"/>
        <v>65</v>
      </c>
      <c r="C103" t="str">
        <f t="shared" si="5"/>
        <v>01100101</v>
      </c>
      <c r="D103">
        <v>3</v>
      </c>
      <c r="E103" s="1" t="s">
        <v>44</v>
      </c>
      <c r="F103" t="s">
        <v>9</v>
      </c>
      <c r="G103" t="str">
        <f>IF(NOT(ISERROR(VLOOKUP(UPPER(E103),Tabelle3!A:A,1,FALSE))),"regulär","illegal")</f>
        <v>regulär</v>
      </c>
      <c r="H103" t="str">
        <f t="shared" si="6"/>
        <v>adc-zp</v>
      </c>
    </row>
    <row r="104" spans="1:8">
      <c r="A104">
        <f t="shared" si="7"/>
        <v>102</v>
      </c>
      <c r="B104" t="str">
        <f t="shared" si="4"/>
        <v>66</v>
      </c>
      <c r="C104" t="str">
        <f t="shared" si="5"/>
        <v>01100110</v>
      </c>
      <c r="D104">
        <v>5</v>
      </c>
      <c r="E104" s="1" t="s">
        <v>46</v>
      </c>
      <c r="F104" t="s">
        <v>9</v>
      </c>
      <c r="G104" t="str">
        <f>IF(NOT(ISERROR(VLOOKUP(UPPER(E104),Tabelle3!A:A,1,FALSE))),"regulär","illegal")</f>
        <v>regulär</v>
      </c>
      <c r="H104" t="str">
        <f t="shared" si="6"/>
        <v>ror-zp</v>
      </c>
    </row>
    <row r="105" spans="1:8">
      <c r="A105">
        <f t="shared" si="7"/>
        <v>103</v>
      </c>
      <c r="B105" t="str">
        <f t="shared" si="4"/>
        <v>67</v>
      </c>
      <c r="C105" t="str">
        <f t="shared" si="5"/>
        <v>01100111</v>
      </c>
      <c r="D105">
        <v>2</v>
      </c>
      <c r="E105" s="1" t="s">
        <v>7</v>
      </c>
      <c r="F105" t="s">
        <v>4</v>
      </c>
      <c r="G105" t="str">
        <f>IF(NOT(ISERROR(VLOOKUP(UPPER(E105),Tabelle3!A:A,1,FALSE))),"regulär","illegal")</f>
        <v>regulär</v>
      </c>
      <c r="H105" t="str">
        <f t="shared" si="6"/>
        <v>nop-implied</v>
      </c>
    </row>
    <row r="106" spans="1:8">
      <c r="A106">
        <f t="shared" si="7"/>
        <v>104</v>
      </c>
      <c r="B106" t="str">
        <f t="shared" si="4"/>
        <v>68</v>
      </c>
      <c r="C106" t="str">
        <f t="shared" si="5"/>
        <v>01101000</v>
      </c>
      <c r="D106">
        <v>4</v>
      </c>
      <c r="E106" s="1" t="s">
        <v>47</v>
      </c>
      <c r="F106" t="s">
        <v>4</v>
      </c>
      <c r="G106" t="str">
        <f>IF(NOT(ISERROR(VLOOKUP(UPPER(E106),Tabelle3!A:A,1,FALSE))),"regulär","illegal")</f>
        <v>regulär</v>
      </c>
      <c r="H106" t="str">
        <f t="shared" si="6"/>
        <v>pla-implied</v>
      </c>
    </row>
    <row r="107" spans="1:8">
      <c r="A107">
        <f t="shared" si="7"/>
        <v>105</v>
      </c>
      <c r="B107" t="str">
        <f t="shared" si="4"/>
        <v>69</v>
      </c>
      <c r="C107" t="str">
        <f t="shared" si="5"/>
        <v>01101001</v>
      </c>
      <c r="D107">
        <v>3</v>
      </c>
      <c r="E107" s="1" t="s">
        <v>44</v>
      </c>
      <c r="F107" t="s">
        <v>12</v>
      </c>
      <c r="G107" t="str">
        <f>IF(NOT(ISERROR(VLOOKUP(UPPER(E107),Tabelle3!A:A,1,FALSE))),"regulär","illegal")</f>
        <v>regulär</v>
      </c>
      <c r="H107" t="str">
        <f t="shared" si="6"/>
        <v>adc-immediate</v>
      </c>
    </row>
    <row r="108" spans="1:8">
      <c r="A108">
        <f t="shared" si="7"/>
        <v>106</v>
      </c>
      <c r="B108" t="str">
        <f t="shared" si="4"/>
        <v>6A</v>
      </c>
      <c r="C108" t="str">
        <f t="shared" si="5"/>
        <v>01101010</v>
      </c>
      <c r="D108">
        <v>2</v>
      </c>
      <c r="E108" s="1" t="s">
        <v>48</v>
      </c>
      <c r="F108" t="s">
        <v>4</v>
      </c>
      <c r="G108" t="str">
        <f>IF(NOT(ISERROR(VLOOKUP(UPPER(E108),Tabelle3!A:A,1,FALSE))),"regulär","illegal")</f>
        <v>illegal</v>
      </c>
      <c r="H108" t="str">
        <f t="shared" si="6"/>
        <v>rora-implied</v>
      </c>
    </row>
    <row r="109" spans="1:8">
      <c r="A109">
        <f t="shared" si="7"/>
        <v>107</v>
      </c>
      <c r="B109" t="str">
        <f t="shared" si="4"/>
        <v>6B</v>
      </c>
      <c r="C109" t="str">
        <f t="shared" si="5"/>
        <v>01101011</v>
      </c>
      <c r="D109">
        <v>2</v>
      </c>
      <c r="E109" s="1" t="s">
        <v>7</v>
      </c>
      <c r="F109" t="s">
        <v>4</v>
      </c>
      <c r="G109" t="str">
        <f>IF(NOT(ISERROR(VLOOKUP(UPPER(E109),Tabelle3!A:A,1,FALSE))),"regulär","illegal")</f>
        <v>regulär</v>
      </c>
      <c r="H109" t="str">
        <f t="shared" si="6"/>
        <v>nop-implied</v>
      </c>
    </row>
    <row r="110" spans="1:8">
      <c r="A110">
        <f t="shared" si="7"/>
        <v>108</v>
      </c>
      <c r="B110" t="str">
        <f t="shared" si="4"/>
        <v>6C</v>
      </c>
      <c r="C110" t="str">
        <f t="shared" si="5"/>
        <v>01101100</v>
      </c>
      <c r="D110">
        <v>5</v>
      </c>
      <c r="E110" s="1" t="s">
        <v>39</v>
      </c>
      <c r="F110" t="s">
        <v>49</v>
      </c>
      <c r="G110" t="str">
        <f>IF(NOT(ISERROR(VLOOKUP(UPPER(E110),Tabelle3!A:A,1,FALSE))),"regulär","illegal")</f>
        <v>regulär</v>
      </c>
      <c r="H110" t="str">
        <f t="shared" si="6"/>
        <v>jmp-indirect</v>
      </c>
    </row>
    <row r="111" spans="1:8">
      <c r="A111">
        <f t="shared" si="7"/>
        <v>109</v>
      </c>
      <c r="B111" t="str">
        <f t="shared" si="4"/>
        <v>6D</v>
      </c>
      <c r="C111" t="str">
        <f t="shared" si="5"/>
        <v>01101101</v>
      </c>
      <c r="D111">
        <v>4</v>
      </c>
      <c r="E111" s="1" t="s">
        <v>44</v>
      </c>
      <c r="F111" t="s">
        <v>14</v>
      </c>
      <c r="G111" t="str">
        <f>IF(NOT(ISERROR(VLOOKUP(UPPER(E111),Tabelle3!A:A,1,FALSE))),"regulär","illegal")</f>
        <v>regulär</v>
      </c>
      <c r="H111" t="str">
        <f t="shared" si="6"/>
        <v>adc-abs</v>
      </c>
    </row>
    <row r="112" spans="1:8">
      <c r="A112">
        <f t="shared" si="7"/>
        <v>110</v>
      </c>
      <c r="B112" t="str">
        <f t="shared" si="4"/>
        <v>6E</v>
      </c>
      <c r="C112" t="str">
        <f t="shared" si="5"/>
        <v>01101110</v>
      </c>
      <c r="D112">
        <v>6</v>
      </c>
      <c r="E112" s="1" t="s">
        <v>46</v>
      </c>
      <c r="F112" t="s">
        <v>14</v>
      </c>
      <c r="G112" t="str">
        <f>IF(NOT(ISERROR(VLOOKUP(UPPER(E112),Tabelle3!A:A,1,FALSE))),"regulär","illegal")</f>
        <v>regulär</v>
      </c>
      <c r="H112" t="str">
        <f t="shared" si="6"/>
        <v>ror-abs</v>
      </c>
    </row>
    <row r="113" spans="1:8">
      <c r="A113">
        <f t="shared" si="7"/>
        <v>111</v>
      </c>
      <c r="B113" t="str">
        <f t="shared" si="4"/>
        <v>6F</v>
      </c>
      <c r="C113" t="str">
        <f t="shared" si="5"/>
        <v>01101111</v>
      </c>
      <c r="D113">
        <v>2</v>
      </c>
      <c r="E113" s="1" t="s">
        <v>7</v>
      </c>
      <c r="F113" t="s">
        <v>4</v>
      </c>
      <c r="G113" t="str">
        <f>IF(NOT(ISERROR(VLOOKUP(UPPER(E113),Tabelle3!A:A,1,FALSE))),"regulär","illegal")</f>
        <v>regulär</v>
      </c>
      <c r="H113" t="str">
        <f t="shared" si="6"/>
        <v>nop-implied</v>
      </c>
    </row>
    <row r="114" spans="1:8">
      <c r="A114">
        <f t="shared" si="7"/>
        <v>112</v>
      </c>
      <c r="B114" t="str">
        <f t="shared" si="4"/>
        <v>70</v>
      </c>
      <c r="C114" t="str">
        <f t="shared" si="5"/>
        <v>01110000</v>
      </c>
      <c r="D114">
        <v>2</v>
      </c>
      <c r="E114" s="1" t="s">
        <v>50</v>
      </c>
      <c r="F114" t="s">
        <v>16</v>
      </c>
      <c r="G114" t="str">
        <f>IF(NOT(ISERROR(VLOOKUP(UPPER(E114),Tabelle3!A:A,1,FALSE))),"regulär","illegal")</f>
        <v>regulär</v>
      </c>
      <c r="H114" t="str">
        <f t="shared" si="6"/>
        <v>bvs-relative</v>
      </c>
    </row>
    <row r="115" spans="1:8">
      <c r="A115">
        <f t="shared" si="7"/>
        <v>113</v>
      </c>
      <c r="B115" t="str">
        <f t="shared" si="4"/>
        <v>71</v>
      </c>
      <c r="C115" t="str">
        <f t="shared" si="5"/>
        <v>01110001</v>
      </c>
      <c r="D115">
        <v>5</v>
      </c>
      <c r="E115" s="1" t="s">
        <v>44</v>
      </c>
      <c r="F115" t="s">
        <v>17</v>
      </c>
      <c r="G115" t="str">
        <f>IF(NOT(ISERROR(VLOOKUP(UPPER(E115),Tabelle3!A:A,1,FALSE))),"regulär","illegal")</f>
        <v>regulär</v>
      </c>
      <c r="H115" t="str">
        <f t="shared" si="6"/>
        <v>adc-indy</v>
      </c>
    </row>
    <row r="116" spans="1:8">
      <c r="A116">
        <f t="shared" si="7"/>
        <v>114</v>
      </c>
      <c r="B116" t="str">
        <f t="shared" si="4"/>
        <v>72</v>
      </c>
      <c r="C116" t="str">
        <f t="shared" si="5"/>
        <v>01110010</v>
      </c>
      <c r="D116">
        <v>3</v>
      </c>
      <c r="E116" s="1" t="s">
        <v>44</v>
      </c>
      <c r="F116" t="s">
        <v>18</v>
      </c>
      <c r="G116" t="str">
        <f>IF(NOT(ISERROR(VLOOKUP(UPPER(E116),Tabelle3!A:A,1,FALSE))),"regulär","illegal")</f>
        <v>regulär</v>
      </c>
      <c r="H116" t="str">
        <f t="shared" si="6"/>
        <v>adc-indzp</v>
      </c>
    </row>
    <row r="117" spans="1:8">
      <c r="A117">
        <f t="shared" si="7"/>
        <v>115</v>
      </c>
      <c r="B117" t="str">
        <f t="shared" si="4"/>
        <v>73</v>
      </c>
      <c r="C117" t="str">
        <f t="shared" si="5"/>
        <v>01110011</v>
      </c>
      <c r="D117">
        <v>2</v>
      </c>
      <c r="E117" s="1" t="s">
        <v>7</v>
      </c>
      <c r="F117" t="s">
        <v>4</v>
      </c>
      <c r="G117" t="str">
        <f>IF(NOT(ISERROR(VLOOKUP(UPPER(E117),Tabelle3!A:A,1,FALSE))),"regulär","illegal")</f>
        <v>regulär</v>
      </c>
      <c r="H117" t="str">
        <f t="shared" si="6"/>
        <v>nop-implied</v>
      </c>
    </row>
    <row r="118" spans="1:8">
      <c r="A118">
        <f t="shared" si="7"/>
        <v>116</v>
      </c>
      <c r="B118" t="str">
        <f t="shared" si="4"/>
        <v>74</v>
      </c>
      <c r="C118" t="str">
        <f t="shared" si="5"/>
        <v>01110100</v>
      </c>
      <c r="D118">
        <v>4</v>
      </c>
      <c r="E118" s="1" t="s">
        <v>45</v>
      </c>
      <c r="F118" t="s">
        <v>20</v>
      </c>
      <c r="G118" t="str">
        <f>IF(NOT(ISERROR(VLOOKUP(UPPER(E118),Tabelle3!A:A,1,FALSE))),"regulär","illegal")</f>
        <v>illegal</v>
      </c>
      <c r="H118" t="str">
        <f t="shared" si="6"/>
        <v>stz-zpx</v>
      </c>
    </row>
    <row r="119" spans="1:8">
      <c r="A119">
        <f t="shared" si="7"/>
        <v>117</v>
      </c>
      <c r="B119" t="str">
        <f t="shared" si="4"/>
        <v>75</v>
      </c>
      <c r="C119" t="str">
        <f t="shared" si="5"/>
        <v>01110101</v>
      </c>
      <c r="D119">
        <v>4</v>
      </c>
      <c r="E119" s="1" t="s">
        <v>44</v>
      </c>
      <c r="F119" t="s">
        <v>20</v>
      </c>
      <c r="G119" t="str">
        <f>IF(NOT(ISERROR(VLOOKUP(UPPER(E119),Tabelle3!A:A,1,FALSE))),"regulär","illegal")</f>
        <v>regulär</v>
      </c>
      <c r="H119" t="str">
        <f t="shared" si="6"/>
        <v>adc-zpx</v>
      </c>
    </row>
    <row r="120" spans="1:8">
      <c r="A120">
        <f t="shared" si="7"/>
        <v>118</v>
      </c>
      <c r="B120" t="str">
        <f t="shared" si="4"/>
        <v>76</v>
      </c>
      <c r="C120" t="str">
        <f t="shared" si="5"/>
        <v>01110110</v>
      </c>
      <c r="D120">
        <v>6</v>
      </c>
      <c r="E120" s="1" t="s">
        <v>46</v>
      </c>
      <c r="F120" t="s">
        <v>20</v>
      </c>
      <c r="G120" t="str">
        <f>IF(NOT(ISERROR(VLOOKUP(UPPER(E120),Tabelle3!A:A,1,FALSE))),"regulär","illegal")</f>
        <v>regulär</v>
      </c>
      <c r="H120" t="str">
        <f t="shared" si="6"/>
        <v>ror-zpx</v>
      </c>
    </row>
    <row r="121" spans="1:8">
      <c r="A121">
        <f t="shared" si="7"/>
        <v>119</v>
      </c>
      <c r="B121" t="str">
        <f t="shared" si="4"/>
        <v>77</v>
      </c>
      <c r="C121" t="str">
        <f t="shared" si="5"/>
        <v>01110111</v>
      </c>
      <c r="D121">
        <v>2</v>
      </c>
      <c r="E121" s="1" t="s">
        <v>7</v>
      </c>
      <c r="F121" t="s">
        <v>4</v>
      </c>
      <c r="G121" t="str">
        <f>IF(NOT(ISERROR(VLOOKUP(UPPER(E121),Tabelle3!A:A,1,FALSE))),"regulär","illegal")</f>
        <v>regulär</v>
      </c>
      <c r="H121" t="str">
        <f t="shared" si="6"/>
        <v>nop-implied</v>
      </c>
    </row>
    <row r="122" spans="1:8">
      <c r="A122">
        <f t="shared" si="7"/>
        <v>120</v>
      </c>
      <c r="B122" t="str">
        <f t="shared" si="4"/>
        <v>78</v>
      </c>
      <c r="C122" t="str">
        <f t="shared" si="5"/>
        <v>01111000</v>
      </c>
      <c r="D122">
        <v>2</v>
      </c>
      <c r="E122" s="1" t="s">
        <v>51</v>
      </c>
      <c r="F122" t="s">
        <v>4</v>
      </c>
      <c r="G122" t="str">
        <f>IF(NOT(ISERROR(VLOOKUP(UPPER(E122),Tabelle3!A:A,1,FALSE))),"regulär","illegal")</f>
        <v>regulär</v>
      </c>
      <c r="H122" t="str">
        <f t="shared" si="6"/>
        <v>sei-implied</v>
      </c>
    </row>
    <row r="123" spans="1:8">
      <c r="A123">
        <f t="shared" si="7"/>
        <v>121</v>
      </c>
      <c r="B123" t="str">
        <f t="shared" si="4"/>
        <v>79</v>
      </c>
      <c r="C123" t="str">
        <f t="shared" si="5"/>
        <v>01111001</v>
      </c>
      <c r="D123">
        <v>4</v>
      </c>
      <c r="E123" s="1" t="s">
        <v>44</v>
      </c>
      <c r="F123" t="s">
        <v>22</v>
      </c>
      <c r="G123" t="str">
        <f>IF(NOT(ISERROR(VLOOKUP(UPPER(E123),Tabelle3!A:A,1,FALSE))),"regulär","illegal")</f>
        <v>regulär</v>
      </c>
      <c r="H123" t="str">
        <f t="shared" si="6"/>
        <v>adc-absy</v>
      </c>
    </row>
    <row r="124" spans="1:8">
      <c r="A124">
        <f t="shared" si="7"/>
        <v>122</v>
      </c>
      <c r="B124" t="str">
        <f t="shared" si="4"/>
        <v>7A</v>
      </c>
      <c r="C124" t="str">
        <f t="shared" si="5"/>
        <v>01111010</v>
      </c>
      <c r="D124">
        <v>4</v>
      </c>
      <c r="E124" s="1" t="s">
        <v>52</v>
      </c>
      <c r="F124" t="s">
        <v>4</v>
      </c>
      <c r="G124" t="str">
        <f>IF(NOT(ISERROR(VLOOKUP(UPPER(E124),Tabelle3!A:A,1,FALSE))),"regulär","illegal")</f>
        <v>illegal</v>
      </c>
      <c r="H124" t="str">
        <f t="shared" si="6"/>
        <v>ply-implied</v>
      </c>
    </row>
    <row r="125" spans="1:8">
      <c r="A125">
        <f t="shared" si="7"/>
        <v>123</v>
      </c>
      <c r="B125" t="str">
        <f t="shared" si="4"/>
        <v>7B</v>
      </c>
      <c r="C125" t="str">
        <f t="shared" si="5"/>
        <v>01111011</v>
      </c>
      <c r="D125">
        <v>2</v>
      </c>
      <c r="E125" s="1" t="s">
        <v>7</v>
      </c>
      <c r="F125" t="s">
        <v>4</v>
      </c>
      <c r="G125" t="str">
        <f>IF(NOT(ISERROR(VLOOKUP(UPPER(E125),Tabelle3!A:A,1,FALSE))),"regulär","illegal")</f>
        <v>regulär</v>
      </c>
      <c r="H125" t="str">
        <f t="shared" si="6"/>
        <v>nop-implied</v>
      </c>
    </row>
    <row r="126" spans="1:8">
      <c r="A126">
        <f t="shared" si="7"/>
        <v>124</v>
      </c>
      <c r="B126" t="str">
        <f t="shared" si="4"/>
        <v>7C</v>
      </c>
      <c r="C126" t="str">
        <f t="shared" si="5"/>
        <v>01111100</v>
      </c>
      <c r="D126">
        <v>6</v>
      </c>
      <c r="E126" s="1" t="s">
        <v>39</v>
      </c>
      <c r="F126" t="s">
        <v>53</v>
      </c>
      <c r="G126" t="str">
        <f>IF(NOT(ISERROR(VLOOKUP(UPPER(E126),Tabelle3!A:A,1,FALSE))),"regulär","illegal")</f>
        <v>regulär</v>
      </c>
      <c r="H126" t="str">
        <f t="shared" si="6"/>
        <v>jmp-indabsx</v>
      </c>
    </row>
    <row r="127" spans="1:8">
      <c r="A127">
        <f t="shared" si="7"/>
        <v>125</v>
      </c>
      <c r="B127" t="str">
        <f t="shared" si="4"/>
        <v>7D</v>
      </c>
      <c r="C127" t="str">
        <f t="shared" si="5"/>
        <v>01111101</v>
      </c>
      <c r="D127">
        <v>4</v>
      </c>
      <c r="E127" s="1" t="s">
        <v>44</v>
      </c>
      <c r="F127" t="s">
        <v>24</v>
      </c>
      <c r="G127" t="str">
        <f>IF(NOT(ISERROR(VLOOKUP(UPPER(E127),Tabelle3!A:A,1,FALSE))),"regulär","illegal")</f>
        <v>regulär</v>
      </c>
      <c r="H127" t="str">
        <f t="shared" si="6"/>
        <v>adc-absx</v>
      </c>
    </row>
    <row r="128" spans="1:8">
      <c r="A128">
        <f t="shared" si="7"/>
        <v>126</v>
      </c>
      <c r="B128" t="str">
        <f t="shared" si="4"/>
        <v>7E</v>
      </c>
      <c r="C128" t="str">
        <f t="shared" si="5"/>
        <v>01111110</v>
      </c>
      <c r="D128">
        <v>7</v>
      </c>
      <c r="E128" s="1" t="s">
        <v>46</v>
      </c>
      <c r="F128" t="s">
        <v>24</v>
      </c>
      <c r="G128" t="str">
        <f>IF(NOT(ISERROR(VLOOKUP(UPPER(E128),Tabelle3!A:A,1,FALSE))),"regulär","illegal")</f>
        <v>regulär</v>
      </c>
      <c r="H128" t="str">
        <f t="shared" si="6"/>
        <v>ror-absx</v>
      </c>
    </row>
    <row r="129" spans="1:8">
      <c r="A129">
        <f t="shared" si="7"/>
        <v>127</v>
      </c>
      <c r="B129" t="str">
        <f t="shared" si="4"/>
        <v>7F</v>
      </c>
      <c r="C129" t="str">
        <f t="shared" si="5"/>
        <v>01111111</v>
      </c>
      <c r="D129">
        <v>2</v>
      </c>
      <c r="E129" s="1" t="s">
        <v>7</v>
      </c>
      <c r="F129" t="s">
        <v>4</v>
      </c>
      <c r="G129" t="str">
        <f>IF(NOT(ISERROR(VLOOKUP(UPPER(E129),Tabelle3!A:A,1,FALSE))),"regulär","illegal")</f>
        <v>regulär</v>
      </c>
      <c r="H129" t="str">
        <f t="shared" si="6"/>
        <v>nop-implied</v>
      </c>
    </row>
    <row r="130" spans="1:8">
      <c r="A130">
        <f t="shared" si="7"/>
        <v>128</v>
      </c>
      <c r="B130" t="str">
        <f t="shared" si="4"/>
        <v>80</v>
      </c>
      <c r="C130" t="str">
        <f t="shared" si="5"/>
        <v>10000000</v>
      </c>
      <c r="D130">
        <v>2</v>
      </c>
      <c r="E130" s="1" t="s">
        <v>54</v>
      </c>
      <c r="F130" t="s">
        <v>16</v>
      </c>
      <c r="G130" t="str">
        <f>IF(NOT(ISERROR(VLOOKUP(UPPER(E130),Tabelle3!A:A,1,FALSE))),"regulär","illegal")</f>
        <v>illegal</v>
      </c>
      <c r="H130" t="str">
        <f t="shared" si="6"/>
        <v>bra-relative</v>
      </c>
    </row>
    <row r="131" spans="1:8">
      <c r="A131">
        <f t="shared" si="7"/>
        <v>129</v>
      </c>
      <c r="B131" t="str">
        <f t="shared" ref="B131:B194" si="8">DEC2HEX(A131,2)</f>
        <v>81</v>
      </c>
      <c r="C131" t="str">
        <f t="shared" ref="C131:C194" si="9">DEC2BIN(A131,8)</f>
        <v>10000001</v>
      </c>
      <c r="D131">
        <v>6</v>
      </c>
      <c r="E131" s="1" t="s">
        <v>55</v>
      </c>
      <c r="F131" t="s">
        <v>6</v>
      </c>
      <c r="G131" t="str">
        <f>IF(NOT(ISERROR(VLOOKUP(UPPER(E131),Tabelle3!A:A,1,FALSE))),"regulär","illegal")</f>
        <v>regulär</v>
      </c>
      <c r="H131" t="str">
        <f t="shared" ref="H131:H194" si="10">E131&amp;"-"&amp;F131</f>
        <v>sta-indx</v>
      </c>
    </row>
    <row r="132" spans="1:8">
      <c r="A132">
        <f t="shared" ref="A132:A195" si="11">A131+1</f>
        <v>130</v>
      </c>
      <c r="B132" t="str">
        <f t="shared" si="8"/>
        <v>82</v>
      </c>
      <c r="C132" t="str">
        <f t="shared" si="9"/>
        <v>10000010</v>
      </c>
      <c r="D132">
        <v>2</v>
      </c>
      <c r="E132" s="1" t="s">
        <v>7</v>
      </c>
      <c r="F132" t="s">
        <v>4</v>
      </c>
      <c r="G132" t="str">
        <f>IF(NOT(ISERROR(VLOOKUP(UPPER(E132),Tabelle3!A:A,1,FALSE))),"regulär","illegal")</f>
        <v>regulär</v>
      </c>
      <c r="H132" t="str">
        <f t="shared" si="10"/>
        <v>nop-implied</v>
      </c>
    </row>
    <row r="133" spans="1:8">
      <c r="A133">
        <f t="shared" si="11"/>
        <v>131</v>
      </c>
      <c r="B133" t="str">
        <f t="shared" si="8"/>
        <v>83</v>
      </c>
      <c r="C133" t="str">
        <f t="shared" si="9"/>
        <v>10000011</v>
      </c>
      <c r="D133">
        <v>2</v>
      </c>
      <c r="E133" s="1" t="s">
        <v>7</v>
      </c>
      <c r="F133" t="s">
        <v>4</v>
      </c>
      <c r="G133" t="str">
        <f>IF(NOT(ISERROR(VLOOKUP(UPPER(E133),Tabelle3!A:A,1,FALSE))),"regulär","illegal")</f>
        <v>regulär</v>
      </c>
      <c r="H133" t="str">
        <f t="shared" si="10"/>
        <v>nop-implied</v>
      </c>
    </row>
    <row r="134" spans="1:8">
      <c r="A134">
        <f t="shared" si="11"/>
        <v>132</v>
      </c>
      <c r="B134" t="str">
        <f t="shared" si="8"/>
        <v>84</v>
      </c>
      <c r="C134" t="str">
        <f t="shared" si="9"/>
        <v>10000100</v>
      </c>
      <c r="D134">
        <v>2</v>
      </c>
      <c r="E134" s="1" t="s">
        <v>56</v>
      </c>
      <c r="F134" t="s">
        <v>9</v>
      </c>
      <c r="G134" t="str">
        <f>IF(NOT(ISERROR(VLOOKUP(UPPER(E134),Tabelle3!A:A,1,FALSE))),"regulär","illegal")</f>
        <v>regulär</v>
      </c>
      <c r="H134" t="str">
        <f t="shared" si="10"/>
        <v>sty-zp</v>
      </c>
    </row>
    <row r="135" spans="1:8">
      <c r="A135">
        <f t="shared" si="11"/>
        <v>133</v>
      </c>
      <c r="B135" t="str">
        <f t="shared" si="8"/>
        <v>85</v>
      </c>
      <c r="C135" t="str">
        <f t="shared" si="9"/>
        <v>10000101</v>
      </c>
      <c r="D135">
        <v>2</v>
      </c>
      <c r="E135" s="1" t="s">
        <v>55</v>
      </c>
      <c r="F135" t="s">
        <v>9</v>
      </c>
      <c r="G135" t="str">
        <f>IF(NOT(ISERROR(VLOOKUP(UPPER(E135),Tabelle3!A:A,1,FALSE))),"regulär","illegal")</f>
        <v>regulär</v>
      </c>
      <c r="H135" t="str">
        <f t="shared" si="10"/>
        <v>sta-zp</v>
      </c>
    </row>
    <row r="136" spans="1:8">
      <c r="A136">
        <f t="shared" si="11"/>
        <v>134</v>
      </c>
      <c r="B136" t="str">
        <f t="shared" si="8"/>
        <v>86</v>
      </c>
      <c r="C136" t="str">
        <f t="shared" si="9"/>
        <v>10000110</v>
      </c>
      <c r="D136">
        <v>2</v>
      </c>
      <c r="E136" s="1" t="s">
        <v>57</v>
      </c>
      <c r="F136" t="s">
        <v>9</v>
      </c>
      <c r="G136" t="str">
        <f>IF(NOT(ISERROR(VLOOKUP(UPPER(E136),Tabelle3!A:A,1,FALSE))),"regulär","illegal")</f>
        <v>regulär</v>
      </c>
      <c r="H136" t="str">
        <f t="shared" si="10"/>
        <v>stx-zp</v>
      </c>
    </row>
    <row r="137" spans="1:8">
      <c r="A137">
        <f t="shared" si="11"/>
        <v>135</v>
      </c>
      <c r="B137" t="str">
        <f t="shared" si="8"/>
        <v>87</v>
      </c>
      <c r="C137" t="str">
        <f t="shared" si="9"/>
        <v>10000111</v>
      </c>
      <c r="D137">
        <v>2</v>
      </c>
      <c r="E137" s="1" t="s">
        <v>7</v>
      </c>
      <c r="F137" t="s">
        <v>4</v>
      </c>
      <c r="G137" t="str">
        <f>IF(NOT(ISERROR(VLOOKUP(UPPER(E137),Tabelle3!A:A,1,FALSE))),"regulär","illegal")</f>
        <v>regulär</v>
      </c>
      <c r="H137" t="str">
        <f t="shared" si="10"/>
        <v>nop-implied</v>
      </c>
    </row>
    <row r="138" spans="1:8">
      <c r="A138">
        <f t="shared" si="11"/>
        <v>136</v>
      </c>
      <c r="B138" t="str">
        <f t="shared" si="8"/>
        <v>88</v>
      </c>
      <c r="C138" t="str">
        <f t="shared" si="9"/>
        <v>10001000</v>
      </c>
      <c r="D138">
        <v>2</v>
      </c>
      <c r="E138" s="1" t="s">
        <v>58</v>
      </c>
      <c r="F138" t="s">
        <v>4</v>
      </c>
      <c r="G138" t="str">
        <f>IF(NOT(ISERROR(VLOOKUP(UPPER(E138),Tabelle3!A:A,1,FALSE))),"regulär","illegal")</f>
        <v>regulär</v>
      </c>
      <c r="H138" t="str">
        <f t="shared" si="10"/>
        <v>dey-implied</v>
      </c>
    </row>
    <row r="139" spans="1:8">
      <c r="A139">
        <f t="shared" si="11"/>
        <v>137</v>
      </c>
      <c r="B139" t="str">
        <f t="shared" si="8"/>
        <v>89</v>
      </c>
      <c r="C139" t="str">
        <f t="shared" si="9"/>
        <v>10001001</v>
      </c>
      <c r="D139">
        <v>2</v>
      </c>
      <c r="E139" s="1" t="s">
        <v>27</v>
      </c>
      <c r="F139" t="s">
        <v>12</v>
      </c>
      <c r="G139" t="str">
        <f>IF(NOT(ISERROR(VLOOKUP(UPPER(E139),Tabelle3!A:A,1,FALSE))),"regulär","illegal")</f>
        <v>regulär</v>
      </c>
      <c r="H139" t="str">
        <f t="shared" si="10"/>
        <v>bit-immediate</v>
      </c>
    </row>
    <row r="140" spans="1:8">
      <c r="A140">
        <f t="shared" si="11"/>
        <v>138</v>
      </c>
      <c r="B140" t="str">
        <f t="shared" si="8"/>
        <v>8A</v>
      </c>
      <c r="C140" t="str">
        <f t="shared" si="9"/>
        <v>10001010</v>
      </c>
      <c r="D140">
        <v>2</v>
      </c>
      <c r="E140" s="1" t="s">
        <v>59</v>
      </c>
      <c r="F140" t="s">
        <v>4</v>
      </c>
      <c r="G140" t="str">
        <f>IF(NOT(ISERROR(VLOOKUP(UPPER(E140),Tabelle3!A:A,1,FALSE))),"regulär","illegal")</f>
        <v>regulär</v>
      </c>
      <c r="H140" t="str">
        <f t="shared" si="10"/>
        <v>txa-implied</v>
      </c>
    </row>
    <row r="141" spans="1:8">
      <c r="A141">
        <f t="shared" si="11"/>
        <v>139</v>
      </c>
      <c r="B141" t="str">
        <f t="shared" si="8"/>
        <v>8B</v>
      </c>
      <c r="C141" t="str">
        <f t="shared" si="9"/>
        <v>10001011</v>
      </c>
      <c r="D141">
        <v>2</v>
      </c>
      <c r="E141" s="1" t="s">
        <v>7</v>
      </c>
      <c r="F141" t="s">
        <v>4</v>
      </c>
      <c r="G141" t="str">
        <f>IF(NOT(ISERROR(VLOOKUP(UPPER(E141),Tabelle3!A:A,1,FALSE))),"regulär","illegal")</f>
        <v>regulär</v>
      </c>
      <c r="H141" t="str">
        <f t="shared" si="10"/>
        <v>nop-implied</v>
      </c>
    </row>
    <row r="142" spans="1:8">
      <c r="A142">
        <f t="shared" si="11"/>
        <v>140</v>
      </c>
      <c r="B142" t="str">
        <f t="shared" si="8"/>
        <v>8C</v>
      </c>
      <c r="C142" t="str">
        <f t="shared" si="9"/>
        <v>10001100</v>
      </c>
      <c r="D142">
        <v>4</v>
      </c>
      <c r="E142" s="1" t="s">
        <v>56</v>
      </c>
      <c r="F142" t="s">
        <v>14</v>
      </c>
      <c r="G142" t="str">
        <f>IF(NOT(ISERROR(VLOOKUP(UPPER(E142),Tabelle3!A:A,1,FALSE))),"regulär","illegal")</f>
        <v>regulär</v>
      </c>
      <c r="H142" t="str">
        <f t="shared" si="10"/>
        <v>sty-abs</v>
      </c>
    </row>
    <row r="143" spans="1:8">
      <c r="A143">
        <f t="shared" si="11"/>
        <v>141</v>
      </c>
      <c r="B143" t="str">
        <f t="shared" si="8"/>
        <v>8D</v>
      </c>
      <c r="C143" t="str">
        <f t="shared" si="9"/>
        <v>10001101</v>
      </c>
      <c r="D143">
        <v>4</v>
      </c>
      <c r="E143" s="1" t="s">
        <v>55</v>
      </c>
      <c r="F143" t="s">
        <v>14</v>
      </c>
      <c r="G143" t="str">
        <f>IF(NOT(ISERROR(VLOOKUP(UPPER(E143),Tabelle3!A:A,1,FALSE))),"regulär","illegal")</f>
        <v>regulär</v>
      </c>
      <c r="H143" t="str">
        <f t="shared" si="10"/>
        <v>sta-abs</v>
      </c>
    </row>
    <row r="144" spans="1:8">
      <c r="A144">
        <f t="shared" si="11"/>
        <v>142</v>
      </c>
      <c r="B144" t="str">
        <f t="shared" si="8"/>
        <v>8E</v>
      </c>
      <c r="C144" t="str">
        <f t="shared" si="9"/>
        <v>10001110</v>
      </c>
      <c r="D144">
        <v>4</v>
      </c>
      <c r="E144" s="1" t="s">
        <v>57</v>
      </c>
      <c r="F144" t="s">
        <v>14</v>
      </c>
      <c r="G144" t="str">
        <f>IF(NOT(ISERROR(VLOOKUP(UPPER(E144),Tabelle3!A:A,1,FALSE))),"regulär","illegal")</f>
        <v>regulär</v>
      </c>
      <c r="H144" t="str">
        <f t="shared" si="10"/>
        <v>stx-abs</v>
      </c>
    </row>
    <row r="145" spans="1:8">
      <c r="A145">
        <f t="shared" si="11"/>
        <v>143</v>
      </c>
      <c r="B145" t="str">
        <f t="shared" si="8"/>
        <v>8F</v>
      </c>
      <c r="C145" t="str">
        <f t="shared" si="9"/>
        <v>10001111</v>
      </c>
      <c r="D145">
        <v>2</v>
      </c>
      <c r="E145" s="1" t="s">
        <v>7</v>
      </c>
      <c r="F145" t="s">
        <v>4</v>
      </c>
      <c r="G145" t="str">
        <f>IF(NOT(ISERROR(VLOOKUP(UPPER(E145),Tabelle3!A:A,1,FALSE))),"regulär","illegal")</f>
        <v>regulär</v>
      </c>
      <c r="H145" t="str">
        <f t="shared" si="10"/>
        <v>nop-implied</v>
      </c>
    </row>
    <row r="146" spans="1:8">
      <c r="A146">
        <f t="shared" si="11"/>
        <v>144</v>
      </c>
      <c r="B146" t="str">
        <f t="shared" si="8"/>
        <v>90</v>
      </c>
      <c r="C146" t="str">
        <f t="shared" si="9"/>
        <v>10010000</v>
      </c>
      <c r="D146">
        <v>2</v>
      </c>
      <c r="E146" s="1" t="s">
        <v>60</v>
      </c>
      <c r="F146" t="s">
        <v>16</v>
      </c>
      <c r="G146" t="str">
        <f>IF(NOT(ISERROR(VLOOKUP(UPPER(E146),Tabelle3!A:A,1,FALSE))),"regulär","illegal")</f>
        <v>regulär</v>
      </c>
      <c r="H146" t="str">
        <f t="shared" si="10"/>
        <v>bcc-relative</v>
      </c>
    </row>
    <row r="147" spans="1:8">
      <c r="A147">
        <f t="shared" si="11"/>
        <v>145</v>
      </c>
      <c r="B147" t="str">
        <f t="shared" si="8"/>
        <v>91</v>
      </c>
      <c r="C147" t="str">
        <f t="shared" si="9"/>
        <v>10010001</v>
      </c>
      <c r="D147">
        <v>6</v>
      </c>
      <c r="E147" s="1" t="s">
        <v>55</v>
      </c>
      <c r="F147" t="s">
        <v>17</v>
      </c>
      <c r="G147" t="str">
        <f>IF(NOT(ISERROR(VLOOKUP(UPPER(E147),Tabelle3!A:A,1,FALSE))),"regulär","illegal")</f>
        <v>regulär</v>
      </c>
      <c r="H147" t="str">
        <f t="shared" si="10"/>
        <v>sta-indy</v>
      </c>
    </row>
    <row r="148" spans="1:8">
      <c r="A148">
        <f t="shared" si="11"/>
        <v>146</v>
      </c>
      <c r="B148" t="str">
        <f t="shared" si="8"/>
        <v>92</v>
      </c>
      <c r="C148" t="str">
        <f t="shared" si="9"/>
        <v>10010010</v>
      </c>
      <c r="D148">
        <v>3</v>
      </c>
      <c r="E148" s="1" t="s">
        <v>55</v>
      </c>
      <c r="F148" t="s">
        <v>18</v>
      </c>
      <c r="G148" t="str">
        <f>IF(NOT(ISERROR(VLOOKUP(UPPER(E148),Tabelle3!A:A,1,FALSE))),"regulär","illegal")</f>
        <v>regulär</v>
      </c>
      <c r="H148" t="str">
        <f t="shared" si="10"/>
        <v>sta-indzp</v>
      </c>
    </row>
    <row r="149" spans="1:8">
      <c r="A149">
        <f t="shared" si="11"/>
        <v>147</v>
      </c>
      <c r="B149" t="str">
        <f t="shared" si="8"/>
        <v>93</v>
      </c>
      <c r="C149" t="str">
        <f t="shared" si="9"/>
        <v>10010011</v>
      </c>
      <c r="D149">
        <v>2</v>
      </c>
      <c r="E149" s="1" t="s">
        <v>7</v>
      </c>
      <c r="F149" t="s">
        <v>4</v>
      </c>
      <c r="G149" t="str">
        <f>IF(NOT(ISERROR(VLOOKUP(UPPER(E149),Tabelle3!A:A,1,FALSE))),"regulär","illegal")</f>
        <v>regulär</v>
      </c>
      <c r="H149" t="str">
        <f t="shared" si="10"/>
        <v>nop-implied</v>
      </c>
    </row>
    <row r="150" spans="1:8">
      <c r="A150">
        <f t="shared" si="11"/>
        <v>148</v>
      </c>
      <c r="B150" t="str">
        <f t="shared" si="8"/>
        <v>94</v>
      </c>
      <c r="C150" t="str">
        <f t="shared" si="9"/>
        <v>10010100</v>
      </c>
      <c r="D150">
        <v>4</v>
      </c>
      <c r="E150" s="1" t="s">
        <v>56</v>
      </c>
      <c r="F150" t="s">
        <v>20</v>
      </c>
      <c r="G150" t="str">
        <f>IF(NOT(ISERROR(VLOOKUP(UPPER(E150),Tabelle3!A:A,1,FALSE))),"regulär","illegal")</f>
        <v>regulär</v>
      </c>
      <c r="H150" t="str">
        <f t="shared" si="10"/>
        <v>sty-zpx</v>
      </c>
    </row>
    <row r="151" spans="1:8">
      <c r="A151">
        <f t="shared" si="11"/>
        <v>149</v>
      </c>
      <c r="B151" t="str">
        <f t="shared" si="8"/>
        <v>95</v>
      </c>
      <c r="C151" t="str">
        <f t="shared" si="9"/>
        <v>10010101</v>
      </c>
      <c r="D151">
        <v>4</v>
      </c>
      <c r="E151" s="1" t="s">
        <v>55</v>
      </c>
      <c r="F151" t="s">
        <v>20</v>
      </c>
      <c r="G151" t="str">
        <f>IF(NOT(ISERROR(VLOOKUP(UPPER(E151),Tabelle3!A:A,1,FALSE))),"regulär","illegal")</f>
        <v>regulär</v>
      </c>
      <c r="H151" t="str">
        <f t="shared" si="10"/>
        <v>sta-zpx</v>
      </c>
    </row>
    <row r="152" spans="1:8">
      <c r="A152">
        <f t="shared" si="11"/>
        <v>150</v>
      </c>
      <c r="B152" t="str">
        <f t="shared" si="8"/>
        <v>96</v>
      </c>
      <c r="C152" t="str">
        <f t="shared" si="9"/>
        <v>10010110</v>
      </c>
      <c r="D152">
        <v>4</v>
      </c>
      <c r="E152" s="1" t="s">
        <v>57</v>
      </c>
      <c r="F152" t="s">
        <v>61</v>
      </c>
      <c r="G152" t="str">
        <f>IF(NOT(ISERROR(VLOOKUP(UPPER(E152),Tabelle3!A:A,1,FALSE))),"regulär","illegal")</f>
        <v>regulär</v>
      </c>
      <c r="H152" t="str">
        <f t="shared" si="10"/>
        <v>stx-zpy</v>
      </c>
    </row>
    <row r="153" spans="1:8">
      <c r="A153">
        <f t="shared" si="11"/>
        <v>151</v>
      </c>
      <c r="B153" t="str">
        <f t="shared" si="8"/>
        <v>97</v>
      </c>
      <c r="C153" t="str">
        <f t="shared" si="9"/>
        <v>10010111</v>
      </c>
      <c r="D153">
        <v>2</v>
      </c>
      <c r="E153" s="1" t="s">
        <v>7</v>
      </c>
      <c r="F153" t="s">
        <v>4</v>
      </c>
      <c r="G153" t="str">
        <f>IF(NOT(ISERROR(VLOOKUP(UPPER(E153),Tabelle3!A:A,1,FALSE))),"regulär","illegal")</f>
        <v>regulär</v>
      </c>
      <c r="H153" t="str">
        <f t="shared" si="10"/>
        <v>nop-implied</v>
      </c>
    </row>
    <row r="154" spans="1:8">
      <c r="A154">
        <f t="shared" si="11"/>
        <v>152</v>
      </c>
      <c r="B154" t="str">
        <f t="shared" si="8"/>
        <v>98</v>
      </c>
      <c r="C154" t="str">
        <f t="shared" si="9"/>
        <v>10011000</v>
      </c>
      <c r="D154">
        <v>2</v>
      </c>
      <c r="E154" s="1" t="s">
        <v>62</v>
      </c>
      <c r="F154" t="s">
        <v>4</v>
      </c>
      <c r="G154" t="str">
        <f>IF(NOT(ISERROR(VLOOKUP(UPPER(E154),Tabelle3!A:A,1,FALSE))),"regulär","illegal")</f>
        <v>regulär</v>
      </c>
      <c r="H154" t="str">
        <f t="shared" si="10"/>
        <v>tya-implied</v>
      </c>
    </row>
    <row r="155" spans="1:8">
      <c r="A155">
        <f t="shared" si="11"/>
        <v>153</v>
      </c>
      <c r="B155" t="str">
        <f t="shared" si="8"/>
        <v>99</v>
      </c>
      <c r="C155" t="str">
        <f t="shared" si="9"/>
        <v>10011001</v>
      </c>
      <c r="D155">
        <v>5</v>
      </c>
      <c r="E155" s="1" t="s">
        <v>55</v>
      </c>
      <c r="F155" t="s">
        <v>22</v>
      </c>
      <c r="G155" t="str">
        <f>IF(NOT(ISERROR(VLOOKUP(UPPER(E155),Tabelle3!A:A,1,FALSE))),"regulär","illegal")</f>
        <v>regulär</v>
      </c>
      <c r="H155" t="str">
        <f t="shared" si="10"/>
        <v>sta-absy</v>
      </c>
    </row>
    <row r="156" spans="1:8">
      <c r="A156">
        <f t="shared" si="11"/>
        <v>154</v>
      </c>
      <c r="B156" t="str">
        <f t="shared" si="8"/>
        <v>9A</v>
      </c>
      <c r="C156" t="str">
        <f t="shared" si="9"/>
        <v>10011010</v>
      </c>
      <c r="D156">
        <v>2</v>
      </c>
      <c r="E156" s="1" t="s">
        <v>63</v>
      </c>
      <c r="F156" t="s">
        <v>4</v>
      </c>
      <c r="G156" t="str">
        <f>IF(NOT(ISERROR(VLOOKUP(UPPER(E156),Tabelle3!A:A,1,FALSE))),"regulär","illegal")</f>
        <v>regulär</v>
      </c>
      <c r="H156" t="str">
        <f t="shared" si="10"/>
        <v>txs-implied</v>
      </c>
    </row>
    <row r="157" spans="1:8">
      <c r="A157">
        <f t="shared" si="11"/>
        <v>155</v>
      </c>
      <c r="B157" t="str">
        <f t="shared" si="8"/>
        <v>9B</v>
      </c>
      <c r="C157" t="str">
        <f t="shared" si="9"/>
        <v>10011011</v>
      </c>
      <c r="D157">
        <v>2</v>
      </c>
      <c r="E157" s="1" t="s">
        <v>7</v>
      </c>
      <c r="F157" t="s">
        <v>4</v>
      </c>
      <c r="G157" t="str">
        <f>IF(NOT(ISERROR(VLOOKUP(UPPER(E157),Tabelle3!A:A,1,FALSE))),"regulär","illegal")</f>
        <v>regulär</v>
      </c>
      <c r="H157" t="str">
        <f t="shared" si="10"/>
        <v>nop-implied</v>
      </c>
    </row>
    <row r="158" spans="1:8">
      <c r="A158">
        <f t="shared" si="11"/>
        <v>156</v>
      </c>
      <c r="B158" t="str">
        <f t="shared" si="8"/>
        <v>9C</v>
      </c>
      <c r="C158" t="str">
        <f t="shared" si="9"/>
        <v>10011100</v>
      </c>
      <c r="D158">
        <v>4</v>
      </c>
      <c r="E158" s="1" t="s">
        <v>45</v>
      </c>
      <c r="F158" t="s">
        <v>14</v>
      </c>
      <c r="G158" t="str">
        <f>IF(NOT(ISERROR(VLOOKUP(UPPER(E158),Tabelle3!A:A,1,FALSE))),"regulär","illegal")</f>
        <v>illegal</v>
      </c>
      <c r="H158" t="str">
        <f t="shared" si="10"/>
        <v>stz-abs</v>
      </c>
    </row>
    <row r="159" spans="1:8">
      <c r="A159">
        <f t="shared" si="11"/>
        <v>157</v>
      </c>
      <c r="B159" t="str">
        <f t="shared" si="8"/>
        <v>9D</v>
      </c>
      <c r="C159" t="str">
        <f t="shared" si="9"/>
        <v>10011101</v>
      </c>
      <c r="D159">
        <v>5</v>
      </c>
      <c r="E159" s="1" t="s">
        <v>55</v>
      </c>
      <c r="F159" t="s">
        <v>24</v>
      </c>
      <c r="G159" t="str">
        <f>IF(NOT(ISERROR(VLOOKUP(UPPER(E159),Tabelle3!A:A,1,FALSE))),"regulär","illegal")</f>
        <v>regulär</v>
      </c>
      <c r="H159" t="str">
        <f t="shared" si="10"/>
        <v>sta-absx</v>
      </c>
    </row>
    <row r="160" spans="1:8">
      <c r="A160">
        <f t="shared" si="11"/>
        <v>158</v>
      </c>
      <c r="B160" t="str">
        <f t="shared" si="8"/>
        <v>9E</v>
      </c>
      <c r="C160" t="str">
        <f t="shared" si="9"/>
        <v>10011110</v>
      </c>
      <c r="D160">
        <v>5</v>
      </c>
      <c r="E160" s="1" t="s">
        <v>45</v>
      </c>
      <c r="F160" t="s">
        <v>24</v>
      </c>
      <c r="G160" t="str">
        <f>IF(NOT(ISERROR(VLOOKUP(UPPER(E160),Tabelle3!A:A,1,FALSE))),"regulär","illegal")</f>
        <v>illegal</v>
      </c>
      <c r="H160" t="str">
        <f t="shared" si="10"/>
        <v>stz-absx</v>
      </c>
    </row>
    <row r="161" spans="1:8">
      <c r="A161">
        <f t="shared" si="11"/>
        <v>159</v>
      </c>
      <c r="B161" t="str">
        <f t="shared" si="8"/>
        <v>9F</v>
      </c>
      <c r="C161" t="str">
        <f t="shared" si="9"/>
        <v>10011111</v>
      </c>
      <c r="D161">
        <v>2</v>
      </c>
      <c r="E161" s="1" t="s">
        <v>7</v>
      </c>
      <c r="F161" t="s">
        <v>4</v>
      </c>
      <c r="G161" t="str">
        <f>IF(NOT(ISERROR(VLOOKUP(UPPER(E161),Tabelle3!A:A,1,FALSE))),"regulär","illegal")</f>
        <v>regulär</v>
      </c>
      <c r="H161" t="str">
        <f t="shared" si="10"/>
        <v>nop-implied</v>
      </c>
    </row>
    <row r="162" spans="1:8">
      <c r="A162">
        <f t="shared" si="11"/>
        <v>160</v>
      </c>
      <c r="B162" t="str">
        <f t="shared" si="8"/>
        <v>A0</v>
      </c>
      <c r="C162" t="str">
        <f t="shared" si="9"/>
        <v>10100000</v>
      </c>
      <c r="D162">
        <v>3</v>
      </c>
      <c r="E162" s="1" t="s">
        <v>64</v>
      </c>
      <c r="F162" t="s">
        <v>12</v>
      </c>
      <c r="G162" t="str">
        <f>IF(NOT(ISERROR(VLOOKUP(UPPER(E162),Tabelle3!A:A,1,FALSE))),"regulär","illegal")</f>
        <v>regulär</v>
      </c>
      <c r="H162" t="str">
        <f t="shared" si="10"/>
        <v>ldy-immediate</v>
      </c>
    </row>
    <row r="163" spans="1:8">
      <c r="A163">
        <f t="shared" si="11"/>
        <v>161</v>
      </c>
      <c r="B163" t="str">
        <f t="shared" si="8"/>
        <v>A1</v>
      </c>
      <c r="C163" t="str">
        <f t="shared" si="9"/>
        <v>10100001</v>
      </c>
      <c r="D163">
        <v>6</v>
      </c>
      <c r="E163" s="1" t="s">
        <v>65</v>
      </c>
      <c r="F163" t="s">
        <v>6</v>
      </c>
      <c r="G163" t="str">
        <f>IF(NOT(ISERROR(VLOOKUP(UPPER(E163),Tabelle3!A:A,1,FALSE))),"regulär","illegal")</f>
        <v>regulär</v>
      </c>
      <c r="H163" t="str">
        <f t="shared" si="10"/>
        <v>lda-indx</v>
      </c>
    </row>
    <row r="164" spans="1:8">
      <c r="A164">
        <f t="shared" si="11"/>
        <v>162</v>
      </c>
      <c r="B164" t="str">
        <f t="shared" si="8"/>
        <v>A2</v>
      </c>
      <c r="C164" t="str">
        <f t="shared" si="9"/>
        <v>10100010</v>
      </c>
      <c r="D164">
        <v>3</v>
      </c>
      <c r="E164" s="1" t="s">
        <v>66</v>
      </c>
      <c r="F164" t="s">
        <v>12</v>
      </c>
      <c r="G164" t="str">
        <f>IF(NOT(ISERROR(VLOOKUP(UPPER(E164),Tabelle3!A:A,1,FALSE))),"regulär","illegal")</f>
        <v>regulär</v>
      </c>
      <c r="H164" t="str">
        <f t="shared" si="10"/>
        <v>ldx-immediate</v>
      </c>
    </row>
    <row r="165" spans="1:8">
      <c r="A165">
        <f t="shared" si="11"/>
        <v>163</v>
      </c>
      <c r="B165" t="str">
        <f t="shared" si="8"/>
        <v>A3</v>
      </c>
      <c r="C165" t="str">
        <f t="shared" si="9"/>
        <v>10100011</v>
      </c>
      <c r="D165">
        <v>2</v>
      </c>
      <c r="E165" s="1" t="s">
        <v>7</v>
      </c>
      <c r="F165" t="s">
        <v>4</v>
      </c>
      <c r="G165" t="str">
        <f>IF(NOT(ISERROR(VLOOKUP(UPPER(E165),Tabelle3!A:A,1,FALSE))),"regulär","illegal")</f>
        <v>regulär</v>
      </c>
      <c r="H165" t="str">
        <f t="shared" si="10"/>
        <v>nop-implied</v>
      </c>
    </row>
    <row r="166" spans="1:8">
      <c r="A166">
        <f t="shared" si="11"/>
        <v>164</v>
      </c>
      <c r="B166" t="str">
        <f t="shared" si="8"/>
        <v>A4</v>
      </c>
      <c r="C166" t="str">
        <f t="shared" si="9"/>
        <v>10100100</v>
      </c>
      <c r="D166">
        <v>3</v>
      </c>
      <c r="E166" s="1" t="s">
        <v>64</v>
      </c>
      <c r="F166" t="s">
        <v>9</v>
      </c>
      <c r="G166" t="str">
        <f>IF(NOT(ISERROR(VLOOKUP(UPPER(E166),Tabelle3!A:A,1,FALSE))),"regulär","illegal")</f>
        <v>regulär</v>
      </c>
      <c r="H166" t="str">
        <f t="shared" si="10"/>
        <v>ldy-zp</v>
      </c>
    </row>
    <row r="167" spans="1:8">
      <c r="A167">
        <f t="shared" si="11"/>
        <v>165</v>
      </c>
      <c r="B167" t="str">
        <f t="shared" si="8"/>
        <v>A5</v>
      </c>
      <c r="C167" t="str">
        <f t="shared" si="9"/>
        <v>10100101</v>
      </c>
      <c r="D167">
        <v>3</v>
      </c>
      <c r="E167" s="1" t="s">
        <v>65</v>
      </c>
      <c r="F167" t="s">
        <v>9</v>
      </c>
      <c r="G167" t="str">
        <f>IF(NOT(ISERROR(VLOOKUP(UPPER(E167),Tabelle3!A:A,1,FALSE))),"regulär","illegal")</f>
        <v>regulär</v>
      </c>
      <c r="H167" t="str">
        <f t="shared" si="10"/>
        <v>lda-zp</v>
      </c>
    </row>
    <row r="168" spans="1:8">
      <c r="A168">
        <f t="shared" si="11"/>
        <v>166</v>
      </c>
      <c r="B168" t="str">
        <f t="shared" si="8"/>
        <v>A6</v>
      </c>
      <c r="C168" t="str">
        <f t="shared" si="9"/>
        <v>10100110</v>
      </c>
      <c r="D168">
        <v>3</v>
      </c>
      <c r="E168" s="1" t="s">
        <v>66</v>
      </c>
      <c r="F168" t="s">
        <v>9</v>
      </c>
      <c r="G168" t="str">
        <f>IF(NOT(ISERROR(VLOOKUP(UPPER(E168),Tabelle3!A:A,1,FALSE))),"regulär","illegal")</f>
        <v>regulär</v>
      </c>
      <c r="H168" t="str">
        <f t="shared" si="10"/>
        <v>ldx-zp</v>
      </c>
    </row>
    <row r="169" spans="1:8">
      <c r="A169">
        <f t="shared" si="11"/>
        <v>167</v>
      </c>
      <c r="B169" t="str">
        <f t="shared" si="8"/>
        <v>A7</v>
      </c>
      <c r="C169" t="str">
        <f t="shared" si="9"/>
        <v>10100111</v>
      </c>
      <c r="D169">
        <v>2</v>
      </c>
      <c r="E169" s="1" t="s">
        <v>7</v>
      </c>
      <c r="F169" t="s">
        <v>4</v>
      </c>
      <c r="G169" t="str">
        <f>IF(NOT(ISERROR(VLOOKUP(UPPER(E169),Tabelle3!A:A,1,FALSE))),"regulär","illegal")</f>
        <v>regulär</v>
      </c>
      <c r="H169" t="str">
        <f t="shared" si="10"/>
        <v>nop-implied</v>
      </c>
    </row>
    <row r="170" spans="1:8">
      <c r="A170">
        <f t="shared" si="11"/>
        <v>168</v>
      </c>
      <c r="B170" t="str">
        <f t="shared" si="8"/>
        <v>A8</v>
      </c>
      <c r="C170" t="str">
        <f t="shared" si="9"/>
        <v>10101000</v>
      </c>
      <c r="D170">
        <v>2</v>
      </c>
      <c r="E170" s="1" t="s">
        <v>67</v>
      </c>
      <c r="F170" t="s">
        <v>4</v>
      </c>
      <c r="G170" t="str">
        <f>IF(NOT(ISERROR(VLOOKUP(UPPER(E170),Tabelle3!A:A,1,FALSE))),"regulär","illegal")</f>
        <v>regulär</v>
      </c>
      <c r="H170" t="str">
        <f t="shared" si="10"/>
        <v>tay-implied</v>
      </c>
    </row>
    <row r="171" spans="1:8">
      <c r="A171">
        <f t="shared" si="11"/>
        <v>169</v>
      </c>
      <c r="B171" t="str">
        <f t="shared" si="8"/>
        <v>A9</v>
      </c>
      <c r="C171" t="str">
        <f t="shared" si="9"/>
        <v>10101001</v>
      </c>
      <c r="D171">
        <v>3</v>
      </c>
      <c r="E171" s="1" t="s">
        <v>65</v>
      </c>
      <c r="F171" t="s">
        <v>12</v>
      </c>
      <c r="G171" t="str">
        <f>IF(NOT(ISERROR(VLOOKUP(UPPER(E171),Tabelle3!A:A,1,FALSE))),"regulär","illegal")</f>
        <v>regulär</v>
      </c>
      <c r="H171" t="str">
        <f t="shared" si="10"/>
        <v>lda-immediate</v>
      </c>
    </row>
    <row r="172" spans="1:8">
      <c r="A172">
        <f t="shared" si="11"/>
        <v>170</v>
      </c>
      <c r="B172" t="str">
        <f t="shared" si="8"/>
        <v>AA</v>
      </c>
      <c r="C172" t="str">
        <f t="shared" si="9"/>
        <v>10101010</v>
      </c>
      <c r="D172">
        <v>2</v>
      </c>
      <c r="E172" s="1" t="s">
        <v>68</v>
      </c>
      <c r="F172" t="s">
        <v>4</v>
      </c>
      <c r="G172" t="str">
        <f>IF(NOT(ISERROR(VLOOKUP(UPPER(E172),Tabelle3!A:A,1,FALSE))),"regulär","illegal")</f>
        <v>regulär</v>
      </c>
      <c r="H172" t="str">
        <f t="shared" si="10"/>
        <v>tax-implied</v>
      </c>
    </row>
    <row r="173" spans="1:8">
      <c r="A173">
        <f t="shared" si="11"/>
        <v>171</v>
      </c>
      <c r="B173" t="str">
        <f t="shared" si="8"/>
        <v>AB</v>
      </c>
      <c r="C173" t="str">
        <f t="shared" si="9"/>
        <v>10101011</v>
      </c>
      <c r="D173">
        <v>2</v>
      </c>
      <c r="E173" s="1" t="s">
        <v>7</v>
      </c>
      <c r="F173" t="s">
        <v>4</v>
      </c>
      <c r="G173" t="str">
        <f>IF(NOT(ISERROR(VLOOKUP(UPPER(E173),Tabelle3!A:A,1,FALSE))),"regulär","illegal")</f>
        <v>regulär</v>
      </c>
      <c r="H173" t="str">
        <f t="shared" si="10"/>
        <v>nop-implied</v>
      </c>
    </row>
    <row r="174" spans="1:8">
      <c r="A174">
        <f t="shared" si="11"/>
        <v>172</v>
      </c>
      <c r="B174" t="str">
        <f t="shared" si="8"/>
        <v>AC</v>
      </c>
      <c r="C174" t="str">
        <f t="shared" si="9"/>
        <v>10101100</v>
      </c>
      <c r="D174">
        <v>4</v>
      </c>
      <c r="E174" s="1" t="s">
        <v>64</v>
      </c>
      <c r="F174" t="s">
        <v>14</v>
      </c>
      <c r="G174" t="str">
        <f>IF(NOT(ISERROR(VLOOKUP(UPPER(E174),Tabelle3!A:A,1,FALSE))),"regulär","illegal")</f>
        <v>regulär</v>
      </c>
      <c r="H174" t="str">
        <f t="shared" si="10"/>
        <v>ldy-abs</v>
      </c>
    </row>
    <row r="175" spans="1:8">
      <c r="A175">
        <f t="shared" si="11"/>
        <v>173</v>
      </c>
      <c r="B175" t="str">
        <f t="shared" si="8"/>
        <v>AD</v>
      </c>
      <c r="C175" t="str">
        <f t="shared" si="9"/>
        <v>10101101</v>
      </c>
      <c r="D175">
        <v>4</v>
      </c>
      <c r="E175" s="1" t="s">
        <v>65</v>
      </c>
      <c r="F175" t="s">
        <v>14</v>
      </c>
      <c r="G175" t="str">
        <f>IF(NOT(ISERROR(VLOOKUP(UPPER(E175),Tabelle3!A:A,1,FALSE))),"regulär","illegal")</f>
        <v>regulär</v>
      </c>
      <c r="H175" t="str">
        <f t="shared" si="10"/>
        <v>lda-abs</v>
      </c>
    </row>
    <row r="176" spans="1:8">
      <c r="A176">
        <f t="shared" si="11"/>
        <v>174</v>
      </c>
      <c r="B176" t="str">
        <f t="shared" si="8"/>
        <v>AE</v>
      </c>
      <c r="C176" t="str">
        <f t="shared" si="9"/>
        <v>10101110</v>
      </c>
      <c r="D176">
        <v>4</v>
      </c>
      <c r="E176" s="1" t="s">
        <v>66</v>
      </c>
      <c r="F176" t="s">
        <v>14</v>
      </c>
      <c r="G176" t="str">
        <f>IF(NOT(ISERROR(VLOOKUP(UPPER(E176),Tabelle3!A:A,1,FALSE))),"regulär","illegal")</f>
        <v>regulär</v>
      </c>
      <c r="H176" t="str">
        <f t="shared" si="10"/>
        <v>ldx-abs</v>
      </c>
    </row>
    <row r="177" spans="1:8">
      <c r="A177">
        <f t="shared" si="11"/>
        <v>175</v>
      </c>
      <c r="B177" t="str">
        <f t="shared" si="8"/>
        <v>AF</v>
      </c>
      <c r="C177" t="str">
        <f t="shared" si="9"/>
        <v>10101111</v>
      </c>
      <c r="D177">
        <v>2</v>
      </c>
      <c r="E177" s="1" t="s">
        <v>7</v>
      </c>
      <c r="F177" t="s">
        <v>4</v>
      </c>
      <c r="G177" t="str">
        <f>IF(NOT(ISERROR(VLOOKUP(UPPER(E177),Tabelle3!A:A,1,FALSE))),"regulär","illegal")</f>
        <v>regulär</v>
      </c>
      <c r="H177" t="str">
        <f t="shared" si="10"/>
        <v>nop-implied</v>
      </c>
    </row>
    <row r="178" spans="1:8">
      <c r="A178">
        <f t="shared" si="11"/>
        <v>176</v>
      </c>
      <c r="B178" t="str">
        <f t="shared" si="8"/>
        <v>B0</v>
      </c>
      <c r="C178" t="str">
        <f t="shared" si="9"/>
        <v>10110000</v>
      </c>
      <c r="D178">
        <v>2</v>
      </c>
      <c r="E178" s="1" t="s">
        <v>69</v>
      </c>
      <c r="F178" t="s">
        <v>16</v>
      </c>
      <c r="G178" t="str">
        <f>IF(NOT(ISERROR(VLOOKUP(UPPER(E178),Tabelle3!A:A,1,FALSE))),"regulär","illegal")</f>
        <v>regulär</v>
      </c>
      <c r="H178" t="str">
        <f t="shared" si="10"/>
        <v>bcs-relative</v>
      </c>
    </row>
    <row r="179" spans="1:8">
      <c r="A179">
        <f t="shared" si="11"/>
        <v>177</v>
      </c>
      <c r="B179" t="str">
        <f t="shared" si="8"/>
        <v>B1</v>
      </c>
      <c r="C179" t="str">
        <f t="shared" si="9"/>
        <v>10110001</v>
      </c>
      <c r="D179">
        <v>5</v>
      </c>
      <c r="E179" s="1" t="s">
        <v>65</v>
      </c>
      <c r="F179" t="s">
        <v>17</v>
      </c>
      <c r="G179" t="str">
        <f>IF(NOT(ISERROR(VLOOKUP(UPPER(E179),Tabelle3!A:A,1,FALSE))),"regulär","illegal")</f>
        <v>regulär</v>
      </c>
      <c r="H179" t="str">
        <f t="shared" si="10"/>
        <v>lda-indy</v>
      </c>
    </row>
    <row r="180" spans="1:8">
      <c r="A180">
        <f t="shared" si="11"/>
        <v>178</v>
      </c>
      <c r="B180" t="str">
        <f t="shared" si="8"/>
        <v>B2</v>
      </c>
      <c r="C180" t="str">
        <f t="shared" si="9"/>
        <v>10110010</v>
      </c>
      <c r="D180">
        <v>3</v>
      </c>
      <c r="E180" s="1" t="s">
        <v>65</v>
      </c>
      <c r="F180" t="s">
        <v>18</v>
      </c>
      <c r="G180" t="str">
        <f>IF(NOT(ISERROR(VLOOKUP(UPPER(E180),Tabelle3!A:A,1,FALSE))),"regulär","illegal")</f>
        <v>regulär</v>
      </c>
      <c r="H180" t="str">
        <f t="shared" si="10"/>
        <v>lda-indzp</v>
      </c>
    </row>
    <row r="181" spans="1:8">
      <c r="A181">
        <f t="shared" si="11"/>
        <v>179</v>
      </c>
      <c r="B181" t="str">
        <f t="shared" si="8"/>
        <v>B3</v>
      </c>
      <c r="C181" t="str">
        <f t="shared" si="9"/>
        <v>10110011</v>
      </c>
      <c r="D181">
        <v>2</v>
      </c>
      <c r="E181" s="1" t="s">
        <v>7</v>
      </c>
      <c r="F181" t="s">
        <v>4</v>
      </c>
      <c r="G181" t="str">
        <f>IF(NOT(ISERROR(VLOOKUP(UPPER(E181),Tabelle3!A:A,1,FALSE))),"regulär","illegal")</f>
        <v>regulär</v>
      </c>
      <c r="H181" t="str">
        <f t="shared" si="10"/>
        <v>nop-implied</v>
      </c>
    </row>
    <row r="182" spans="1:8">
      <c r="A182">
        <f t="shared" si="11"/>
        <v>180</v>
      </c>
      <c r="B182" t="str">
        <f t="shared" si="8"/>
        <v>B4</v>
      </c>
      <c r="C182" t="str">
        <f t="shared" si="9"/>
        <v>10110100</v>
      </c>
      <c r="D182">
        <v>4</v>
      </c>
      <c r="E182" s="1" t="s">
        <v>64</v>
      </c>
      <c r="F182" t="s">
        <v>20</v>
      </c>
      <c r="G182" t="str">
        <f>IF(NOT(ISERROR(VLOOKUP(UPPER(E182),Tabelle3!A:A,1,FALSE))),"regulär","illegal")</f>
        <v>regulär</v>
      </c>
      <c r="H182" t="str">
        <f t="shared" si="10"/>
        <v>ldy-zpx</v>
      </c>
    </row>
    <row r="183" spans="1:8">
      <c r="A183">
        <f t="shared" si="11"/>
        <v>181</v>
      </c>
      <c r="B183" t="str">
        <f t="shared" si="8"/>
        <v>B5</v>
      </c>
      <c r="C183" t="str">
        <f t="shared" si="9"/>
        <v>10110101</v>
      </c>
      <c r="D183">
        <v>4</v>
      </c>
      <c r="E183" s="1" t="s">
        <v>65</v>
      </c>
      <c r="F183" t="s">
        <v>20</v>
      </c>
      <c r="G183" t="str">
        <f>IF(NOT(ISERROR(VLOOKUP(UPPER(E183),Tabelle3!A:A,1,FALSE))),"regulär","illegal")</f>
        <v>regulär</v>
      </c>
      <c r="H183" t="str">
        <f t="shared" si="10"/>
        <v>lda-zpx</v>
      </c>
    </row>
    <row r="184" spans="1:8">
      <c r="A184">
        <f t="shared" si="11"/>
        <v>182</v>
      </c>
      <c r="B184" t="str">
        <f t="shared" si="8"/>
        <v>B6</v>
      </c>
      <c r="C184" t="str">
        <f t="shared" si="9"/>
        <v>10110110</v>
      </c>
      <c r="D184">
        <v>4</v>
      </c>
      <c r="E184" s="1" t="s">
        <v>66</v>
      </c>
      <c r="F184" t="s">
        <v>61</v>
      </c>
      <c r="G184" t="str">
        <f>IF(NOT(ISERROR(VLOOKUP(UPPER(E184),Tabelle3!A:A,1,FALSE))),"regulär","illegal")</f>
        <v>regulär</v>
      </c>
      <c r="H184" t="str">
        <f t="shared" si="10"/>
        <v>ldx-zpy</v>
      </c>
    </row>
    <row r="185" spans="1:8">
      <c r="A185">
        <f t="shared" si="11"/>
        <v>183</v>
      </c>
      <c r="B185" t="str">
        <f t="shared" si="8"/>
        <v>B7</v>
      </c>
      <c r="C185" t="str">
        <f t="shared" si="9"/>
        <v>10110111</v>
      </c>
      <c r="D185">
        <v>2</v>
      </c>
      <c r="E185" s="1" t="s">
        <v>7</v>
      </c>
      <c r="F185" t="s">
        <v>4</v>
      </c>
      <c r="G185" t="str">
        <f>IF(NOT(ISERROR(VLOOKUP(UPPER(E185),Tabelle3!A:A,1,FALSE))),"regulär","illegal")</f>
        <v>regulär</v>
      </c>
      <c r="H185" t="str">
        <f t="shared" si="10"/>
        <v>nop-implied</v>
      </c>
    </row>
    <row r="186" spans="1:8">
      <c r="A186">
        <f t="shared" si="11"/>
        <v>184</v>
      </c>
      <c r="B186" t="str">
        <f t="shared" si="8"/>
        <v>B8</v>
      </c>
      <c r="C186" t="str">
        <f t="shared" si="9"/>
        <v>10111000</v>
      </c>
      <c r="D186">
        <v>2</v>
      </c>
      <c r="E186" s="1" t="s">
        <v>70</v>
      </c>
      <c r="F186" t="s">
        <v>4</v>
      </c>
      <c r="G186" t="str">
        <f>IF(NOT(ISERROR(VLOOKUP(UPPER(E186),Tabelle3!A:A,1,FALSE))),"regulär","illegal")</f>
        <v>regulär</v>
      </c>
      <c r="H186" t="str">
        <f t="shared" si="10"/>
        <v>clv-implied</v>
      </c>
    </row>
    <row r="187" spans="1:8">
      <c r="A187">
        <f t="shared" si="11"/>
        <v>185</v>
      </c>
      <c r="B187" t="str">
        <f t="shared" si="8"/>
        <v>B9</v>
      </c>
      <c r="C187" t="str">
        <f t="shared" si="9"/>
        <v>10111001</v>
      </c>
      <c r="D187">
        <v>4</v>
      </c>
      <c r="E187" s="1" t="s">
        <v>65</v>
      </c>
      <c r="F187" t="s">
        <v>22</v>
      </c>
      <c r="G187" t="str">
        <f>IF(NOT(ISERROR(VLOOKUP(UPPER(E187),Tabelle3!A:A,1,FALSE))),"regulär","illegal")</f>
        <v>regulär</v>
      </c>
      <c r="H187" t="str">
        <f t="shared" si="10"/>
        <v>lda-absy</v>
      </c>
    </row>
    <row r="188" spans="1:8">
      <c r="A188">
        <f t="shared" si="11"/>
        <v>186</v>
      </c>
      <c r="B188" t="str">
        <f t="shared" si="8"/>
        <v>BA</v>
      </c>
      <c r="C188" t="str">
        <f t="shared" si="9"/>
        <v>10111010</v>
      </c>
      <c r="D188">
        <v>2</v>
      </c>
      <c r="E188" s="1" t="s">
        <v>71</v>
      </c>
      <c r="F188" t="s">
        <v>4</v>
      </c>
      <c r="G188" t="str">
        <f>IF(NOT(ISERROR(VLOOKUP(UPPER(E188),Tabelle3!A:A,1,FALSE))),"regulär","illegal")</f>
        <v>regulär</v>
      </c>
      <c r="H188" t="str">
        <f t="shared" si="10"/>
        <v>tsx-implied</v>
      </c>
    </row>
    <row r="189" spans="1:8">
      <c r="A189">
        <f t="shared" si="11"/>
        <v>187</v>
      </c>
      <c r="B189" t="str">
        <f t="shared" si="8"/>
        <v>BB</v>
      </c>
      <c r="C189" t="str">
        <f t="shared" si="9"/>
        <v>10111011</v>
      </c>
      <c r="D189">
        <v>2</v>
      </c>
      <c r="E189" s="1" t="s">
        <v>7</v>
      </c>
      <c r="F189" t="s">
        <v>4</v>
      </c>
      <c r="G189" t="str">
        <f>IF(NOT(ISERROR(VLOOKUP(UPPER(E189),Tabelle3!A:A,1,FALSE))),"regulär","illegal")</f>
        <v>regulär</v>
      </c>
      <c r="H189" t="str">
        <f t="shared" si="10"/>
        <v>nop-implied</v>
      </c>
    </row>
    <row r="190" spans="1:8">
      <c r="A190">
        <f t="shared" si="11"/>
        <v>188</v>
      </c>
      <c r="B190" t="str">
        <f t="shared" si="8"/>
        <v>BC</v>
      </c>
      <c r="C190" t="str">
        <f t="shared" si="9"/>
        <v>10111100</v>
      </c>
      <c r="D190">
        <v>4</v>
      </c>
      <c r="E190" s="1" t="s">
        <v>64</v>
      </c>
      <c r="F190" t="s">
        <v>24</v>
      </c>
      <c r="G190" t="str">
        <f>IF(NOT(ISERROR(VLOOKUP(UPPER(E190),Tabelle3!A:A,1,FALSE))),"regulär","illegal")</f>
        <v>regulär</v>
      </c>
      <c r="H190" t="str">
        <f t="shared" si="10"/>
        <v>ldy-absx</v>
      </c>
    </row>
    <row r="191" spans="1:8">
      <c r="A191">
        <f t="shared" si="11"/>
        <v>189</v>
      </c>
      <c r="B191" t="str">
        <f t="shared" si="8"/>
        <v>BD</v>
      </c>
      <c r="C191" t="str">
        <f t="shared" si="9"/>
        <v>10111101</v>
      </c>
      <c r="D191">
        <v>4</v>
      </c>
      <c r="E191" s="1" t="s">
        <v>65</v>
      </c>
      <c r="F191" t="s">
        <v>24</v>
      </c>
      <c r="G191" t="str">
        <f>IF(NOT(ISERROR(VLOOKUP(UPPER(E191),Tabelle3!A:A,1,FALSE))),"regulär","illegal")</f>
        <v>regulär</v>
      </c>
      <c r="H191" t="str">
        <f t="shared" si="10"/>
        <v>lda-absx</v>
      </c>
    </row>
    <row r="192" spans="1:8">
      <c r="A192">
        <f t="shared" si="11"/>
        <v>190</v>
      </c>
      <c r="B192" t="str">
        <f t="shared" si="8"/>
        <v>BE</v>
      </c>
      <c r="C192" t="str">
        <f t="shared" si="9"/>
        <v>10111110</v>
      </c>
      <c r="D192">
        <v>4</v>
      </c>
      <c r="E192" s="1" t="s">
        <v>66</v>
      </c>
      <c r="F192" t="s">
        <v>22</v>
      </c>
      <c r="G192" t="str">
        <f>IF(NOT(ISERROR(VLOOKUP(UPPER(E192),Tabelle3!A:A,1,FALSE))),"regulär","illegal")</f>
        <v>regulär</v>
      </c>
      <c r="H192" t="str">
        <f t="shared" si="10"/>
        <v>ldx-absy</v>
      </c>
    </row>
    <row r="193" spans="1:8">
      <c r="A193">
        <f t="shared" si="11"/>
        <v>191</v>
      </c>
      <c r="B193" t="str">
        <f t="shared" si="8"/>
        <v>BF</v>
      </c>
      <c r="C193" t="str">
        <f t="shared" si="9"/>
        <v>10111111</v>
      </c>
      <c r="D193">
        <v>2</v>
      </c>
      <c r="E193" s="1" t="s">
        <v>7</v>
      </c>
      <c r="F193" t="s">
        <v>4</v>
      </c>
      <c r="G193" t="str">
        <f>IF(NOT(ISERROR(VLOOKUP(UPPER(E193),Tabelle3!A:A,1,FALSE))),"regulär","illegal")</f>
        <v>regulär</v>
      </c>
      <c r="H193" t="str">
        <f t="shared" si="10"/>
        <v>nop-implied</v>
      </c>
    </row>
    <row r="194" spans="1:8">
      <c r="A194">
        <f t="shared" si="11"/>
        <v>192</v>
      </c>
      <c r="B194" t="str">
        <f t="shared" si="8"/>
        <v>C0</v>
      </c>
      <c r="C194" t="str">
        <f t="shared" si="9"/>
        <v>11000000</v>
      </c>
      <c r="D194">
        <v>3</v>
      </c>
      <c r="E194" s="1" t="s">
        <v>72</v>
      </c>
      <c r="F194" t="s">
        <v>12</v>
      </c>
      <c r="G194" t="str">
        <f>IF(NOT(ISERROR(VLOOKUP(UPPER(E194),Tabelle3!A:A,1,FALSE))),"regulär","illegal")</f>
        <v>regulär</v>
      </c>
      <c r="H194" t="str">
        <f t="shared" si="10"/>
        <v>cpy-immediate</v>
      </c>
    </row>
    <row r="195" spans="1:8">
      <c r="A195">
        <f t="shared" si="11"/>
        <v>193</v>
      </c>
      <c r="B195" t="str">
        <f t="shared" ref="B195:B257" si="12">DEC2HEX(A195,2)</f>
        <v>C1</v>
      </c>
      <c r="C195" t="str">
        <f t="shared" ref="C195:C257" si="13">DEC2BIN(A195,8)</f>
        <v>11000001</v>
      </c>
      <c r="D195">
        <v>6</v>
      </c>
      <c r="E195" s="1" t="s">
        <v>73</v>
      </c>
      <c r="F195" t="s">
        <v>6</v>
      </c>
      <c r="G195" t="str">
        <f>IF(NOT(ISERROR(VLOOKUP(UPPER(E195),Tabelle3!A:A,1,FALSE))),"regulär","illegal")</f>
        <v>regulär</v>
      </c>
      <c r="H195" t="str">
        <f t="shared" ref="H195:H257" si="14">E195&amp;"-"&amp;F195</f>
        <v>cmp-indx</v>
      </c>
    </row>
    <row r="196" spans="1:8">
      <c r="A196">
        <f t="shared" ref="A196:A257" si="15">A195+1</f>
        <v>194</v>
      </c>
      <c r="B196" t="str">
        <f t="shared" si="12"/>
        <v>C2</v>
      </c>
      <c r="C196" t="str">
        <f t="shared" si="13"/>
        <v>11000010</v>
      </c>
      <c r="D196">
        <v>2</v>
      </c>
      <c r="E196" s="1" t="s">
        <v>7</v>
      </c>
      <c r="F196" t="s">
        <v>4</v>
      </c>
      <c r="G196" t="str">
        <f>IF(NOT(ISERROR(VLOOKUP(UPPER(E196),Tabelle3!A:A,1,FALSE))),"regulär","illegal")</f>
        <v>regulär</v>
      </c>
      <c r="H196" t="str">
        <f t="shared" si="14"/>
        <v>nop-implied</v>
      </c>
    </row>
    <row r="197" spans="1:8">
      <c r="A197">
        <f t="shared" si="15"/>
        <v>195</v>
      </c>
      <c r="B197" t="str">
        <f t="shared" si="12"/>
        <v>C3</v>
      </c>
      <c r="C197" t="str">
        <f t="shared" si="13"/>
        <v>11000011</v>
      </c>
      <c r="D197">
        <v>2</v>
      </c>
      <c r="E197" s="1" t="s">
        <v>7</v>
      </c>
      <c r="F197" t="s">
        <v>4</v>
      </c>
      <c r="G197" t="str">
        <f>IF(NOT(ISERROR(VLOOKUP(UPPER(E197),Tabelle3!A:A,1,FALSE))),"regulär","illegal")</f>
        <v>regulär</v>
      </c>
      <c r="H197" t="str">
        <f t="shared" si="14"/>
        <v>nop-implied</v>
      </c>
    </row>
    <row r="198" spans="1:8">
      <c r="A198">
        <f t="shared" si="15"/>
        <v>196</v>
      </c>
      <c r="B198" t="str">
        <f t="shared" si="12"/>
        <v>C4</v>
      </c>
      <c r="C198" t="str">
        <f t="shared" si="13"/>
        <v>11000100</v>
      </c>
      <c r="D198">
        <v>3</v>
      </c>
      <c r="E198" s="1" t="s">
        <v>72</v>
      </c>
      <c r="F198" t="s">
        <v>9</v>
      </c>
      <c r="G198" t="str">
        <f>IF(NOT(ISERROR(VLOOKUP(UPPER(E198),Tabelle3!A:A,1,FALSE))),"regulär","illegal")</f>
        <v>regulär</v>
      </c>
      <c r="H198" t="str">
        <f t="shared" si="14"/>
        <v>cpy-zp</v>
      </c>
    </row>
    <row r="199" spans="1:8">
      <c r="A199">
        <f t="shared" si="15"/>
        <v>197</v>
      </c>
      <c r="B199" t="str">
        <f t="shared" si="12"/>
        <v>C5</v>
      </c>
      <c r="C199" t="str">
        <f t="shared" si="13"/>
        <v>11000101</v>
      </c>
      <c r="D199">
        <v>3</v>
      </c>
      <c r="E199" s="1" t="s">
        <v>73</v>
      </c>
      <c r="F199" t="s">
        <v>9</v>
      </c>
      <c r="G199" t="str">
        <f>IF(NOT(ISERROR(VLOOKUP(UPPER(E199),Tabelle3!A:A,1,FALSE))),"regulär","illegal")</f>
        <v>regulär</v>
      </c>
      <c r="H199" t="str">
        <f t="shared" si="14"/>
        <v>cmp-zp</v>
      </c>
    </row>
    <row r="200" spans="1:8">
      <c r="A200">
        <f t="shared" si="15"/>
        <v>198</v>
      </c>
      <c r="B200" t="str">
        <f t="shared" si="12"/>
        <v>C6</v>
      </c>
      <c r="C200" t="str">
        <f t="shared" si="13"/>
        <v>11000110</v>
      </c>
      <c r="D200">
        <v>5</v>
      </c>
      <c r="E200" s="1" t="s">
        <v>74</v>
      </c>
      <c r="F200" t="s">
        <v>9</v>
      </c>
      <c r="G200" t="str">
        <f>IF(NOT(ISERROR(VLOOKUP(UPPER(E200),Tabelle3!A:A,1,FALSE))),"regulär","illegal")</f>
        <v>regulär</v>
      </c>
      <c r="H200" t="str">
        <f t="shared" si="14"/>
        <v>dec-zp</v>
      </c>
    </row>
    <row r="201" spans="1:8">
      <c r="A201">
        <f t="shared" si="15"/>
        <v>199</v>
      </c>
      <c r="B201" t="str">
        <f t="shared" si="12"/>
        <v>C7</v>
      </c>
      <c r="C201" t="str">
        <f t="shared" si="13"/>
        <v>11000111</v>
      </c>
      <c r="D201">
        <v>2</v>
      </c>
      <c r="E201" s="1" t="s">
        <v>7</v>
      </c>
      <c r="F201" t="s">
        <v>4</v>
      </c>
      <c r="G201" t="str">
        <f>IF(NOT(ISERROR(VLOOKUP(UPPER(E201),Tabelle3!A:A,1,FALSE))),"regulär","illegal")</f>
        <v>regulär</v>
      </c>
      <c r="H201" t="str">
        <f t="shared" si="14"/>
        <v>nop-implied</v>
      </c>
    </row>
    <row r="202" spans="1:8">
      <c r="A202">
        <f t="shared" si="15"/>
        <v>200</v>
      </c>
      <c r="B202" t="str">
        <f t="shared" si="12"/>
        <v>C8</v>
      </c>
      <c r="C202" t="str">
        <f t="shared" si="13"/>
        <v>11001000</v>
      </c>
      <c r="D202">
        <v>2</v>
      </c>
      <c r="E202" s="1" t="s">
        <v>75</v>
      </c>
      <c r="F202" t="s">
        <v>4</v>
      </c>
      <c r="G202" t="str">
        <f>IF(NOT(ISERROR(VLOOKUP(UPPER(E202),Tabelle3!A:A,1,FALSE))),"regulär","illegal")</f>
        <v>regulär</v>
      </c>
      <c r="H202" t="str">
        <f t="shared" si="14"/>
        <v>iny-implied</v>
      </c>
    </row>
    <row r="203" spans="1:8">
      <c r="A203">
        <f t="shared" si="15"/>
        <v>201</v>
      </c>
      <c r="B203" t="str">
        <f t="shared" si="12"/>
        <v>C9</v>
      </c>
      <c r="C203" t="str">
        <f t="shared" si="13"/>
        <v>11001001</v>
      </c>
      <c r="D203">
        <v>3</v>
      </c>
      <c r="E203" s="1" t="s">
        <v>73</v>
      </c>
      <c r="F203" t="s">
        <v>12</v>
      </c>
      <c r="G203" t="str">
        <f>IF(NOT(ISERROR(VLOOKUP(UPPER(E203),Tabelle3!A:A,1,FALSE))),"regulär","illegal")</f>
        <v>regulär</v>
      </c>
      <c r="H203" t="str">
        <f t="shared" si="14"/>
        <v>cmp-immediate</v>
      </c>
    </row>
    <row r="204" spans="1:8">
      <c r="A204">
        <f t="shared" si="15"/>
        <v>202</v>
      </c>
      <c r="B204" t="str">
        <f t="shared" si="12"/>
        <v>CA</v>
      </c>
      <c r="C204" t="str">
        <f t="shared" si="13"/>
        <v>11001010</v>
      </c>
      <c r="D204">
        <v>2</v>
      </c>
      <c r="E204" s="1" t="s">
        <v>76</v>
      </c>
      <c r="F204" t="s">
        <v>4</v>
      </c>
      <c r="G204" t="str">
        <f>IF(NOT(ISERROR(VLOOKUP(UPPER(E204),Tabelle3!A:A,1,FALSE))),"regulär","illegal")</f>
        <v>regulär</v>
      </c>
      <c r="H204" t="str">
        <f t="shared" si="14"/>
        <v>dex-implied</v>
      </c>
    </row>
    <row r="205" spans="1:8">
      <c r="A205">
        <f t="shared" si="15"/>
        <v>203</v>
      </c>
      <c r="B205" t="str">
        <f t="shared" si="12"/>
        <v>CB</v>
      </c>
      <c r="C205" t="str">
        <f t="shared" si="13"/>
        <v>11001011</v>
      </c>
      <c r="D205">
        <v>2</v>
      </c>
      <c r="E205" s="1" t="s">
        <v>7</v>
      </c>
      <c r="F205" t="s">
        <v>4</v>
      </c>
      <c r="G205" t="str">
        <f>IF(NOT(ISERROR(VLOOKUP(UPPER(E205),Tabelle3!A:A,1,FALSE))),"regulär","illegal")</f>
        <v>regulär</v>
      </c>
      <c r="H205" t="str">
        <f t="shared" si="14"/>
        <v>nop-implied</v>
      </c>
    </row>
    <row r="206" spans="1:8">
      <c r="A206">
        <f t="shared" si="15"/>
        <v>204</v>
      </c>
      <c r="B206" t="str">
        <f t="shared" si="12"/>
        <v>CC</v>
      </c>
      <c r="C206" t="str">
        <f t="shared" si="13"/>
        <v>11001100</v>
      </c>
      <c r="D206">
        <v>4</v>
      </c>
      <c r="E206" s="1" t="s">
        <v>72</v>
      </c>
      <c r="F206" t="s">
        <v>14</v>
      </c>
      <c r="G206" t="str">
        <f>IF(NOT(ISERROR(VLOOKUP(UPPER(E206),Tabelle3!A:A,1,FALSE))),"regulär","illegal")</f>
        <v>regulär</v>
      </c>
      <c r="H206" t="str">
        <f t="shared" si="14"/>
        <v>cpy-abs</v>
      </c>
    </row>
    <row r="207" spans="1:8">
      <c r="A207">
        <f t="shared" si="15"/>
        <v>205</v>
      </c>
      <c r="B207" t="str">
        <f t="shared" si="12"/>
        <v>CD</v>
      </c>
      <c r="C207" t="str">
        <f t="shared" si="13"/>
        <v>11001101</v>
      </c>
      <c r="D207">
        <v>4</v>
      </c>
      <c r="E207" s="1" t="s">
        <v>73</v>
      </c>
      <c r="F207" t="s">
        <v>14</v>
      </c>
      <c r="G207" t="str">
        <f>IF(NOT(ISERROR(VLOOKUP(UPPER(E207),Tabelle3!A:A,1,FALSE))),"regulär","illegal")</f>
        <v>regulär</v>
      </c>
      <c r="H207" t="str">
        <f t="shared" si="14"/>
        <v>cmp-abs</v>
      </c>
    </row>
    <row r="208" spans="1:8">
      <c r="A208">
        <f t="shared" si="15"/>
        <v>206</v>
      </c>
      <c r="B208" t="str">
        <f t="shared" si="12"/>
        <v>CE</v>
      </c>
      <c r="C208" t="str">
        <f t="shared" si="13"/>
        <v>11001110</v>
      </c>
      <c r="D208">
        <v>6</v>
      </c>
      <c r="E208" s="1" t="s">
        <v>74</v>
      </c>
      <c r="F208" t="s">
        <v>14</v>
      </c>
      <c r="G208" t="str">
        <f>IF(NOT(ISERROR(VLOOKUP(UPPER(E208),Tabelle3!A:A,1,FALSE))),"regulär","illegal")</f>
        <v>regulär</v>
      </c>
      <c r="H208" t="str">
        <f t="shared" si="14"/>
        <v>dec-abs</v>
      </c>
    </row>
    <row r="209" spans="1:8">
      <c r="A209">
        <f t="shared" si="15"/>
        <v>207</v>
      </c>
      <c r="B209" t="str">
        <f t="shared" si="12"/>
        <v>CF</v>
      </c>
      <c r="C209" t="str">
        <f t="shared" si="13"/>
        <v>11001111</v>
      </c>
      <c r="D209">
        <v>2</v>
      </c>
      <c r="E209" s="1" t="s">
        <v>7</v>
      </c>
      <c r="F209" t="s">
        <v>4</v>
      </c>
      <c r="G209" t="str">
        <f>IF(NOT(ISERROR(VLOOKUP(UPPER(E209),Tabelle3!A:A,1,FALSE))),"regulär","illegal")</f>
        <v>regulär</v>
      </c>
      <c r="H209" t="str">
        <f t="shared" si="14"/>
        <v>nop-implied</v>
      </c>
    </row>
    <row r="210" spans="1:8">
      <c r="A210">
        <f t="shared" si="15"/>
        <v>208</v>
      </c>
      <c r="B210" t="str">
        <f t="shared" si="12"/>
        <v>D0</v>
      </c>
      <c r="C210" t="str">
        <f t="shared" si="13"/>
        <v>11010000</v>
      </c>
      <c r="D210">
        <v>2</v>
      </c>
      <c r="E210" s="1" t="s">
        <v>77</v>
      </c>
      <c r="F210" t="s">
        <v>16</v>
      </c>
      <c r="G210" t="str">
        <f>IF(NOT(ISERROR(VLOOKUP(UPPER(E210),Tabelle3!A:A,1,FALSE))),"regulär","illegal")</f>
        <v>regulär</v>
      </c>
      <c r="H210" t="str">
        <f t="shared" si="14"/>
        <v>bne-relative</v>
      </c>
    </row>
    <row r="211" spans="1:8">
      <c r="A211">
        <f t="shared" si="15"/>
        <v>209</v>
      </c>
      <c r="B211" t="str">
        <f t="shared" si="12"/>
        <v>D1</v>
      </c>
      <c r="C211" t="str">
        <f t="shared" si="13"/>
        <v>11010001</v>
      </c>
      <c r="D211">
        <v>5</v>
      </c>
      <c r="E211" s="1" t="s">
        <v>73</v>
      </c>
      <c r="F211" t="s">
        <v>17</v>
      </c>
      <c r="G211" t="str">
        <f>IF(NOT(ISERROR(VLOOKUP(UPPER(E211),Tabelle3!A:A,1,FALSE))),"regulär","illegal")</f>
        <v>regulär</v>
      </c>
      <c r="H211" t="str">
        <f t="shared" si="14"/>
        <v>cmp-indy</v>
      </c>
    </row>
    <row r="212" spans="1:8">
      <c r="A212">
        <f t="shared" si="15"/>
        <v>210</v>
      </c>
      <c r="B212" t="str">
        <f t="shared" si="12"/>
        <v>D2</v>
      </c>
      <c r="C212" t="str">
        <f t="shared" si="13"/>
        <v>11010010</v>
      </c>
      <c r="D212">
        <v>3</v>
      </c>
      <c r="E212" s="1" t="s">
        <v>73</v>
      </c>
      <c r="F212" t="s">
        <v>18</v>
      </c>
      <c r="G212" t="str">
        <f>IF(NOT(ISERROR(VLOOKUP(UPPER(E212),Tabelle3!A:A,1,FALSE))),"regulär","illegal")</f>
        <v>regulär</v>
      </c>
      <c r="H212" t="str">
        <f t="shared" si="14"/>
        <v>cmp-indzp</v>
      </c>
    </row>
    <row r="213" spans="1:8">
      <c r="A213">
        <f t="shared" si="15"/>
        <v>211</v>
      </c>
      <c r="B213" t="str">
        <f t="shared" si="12"/>
        <v>D3</v>
      </c>
      <c r="C213" t="str">
        <f t="shared" si="13"/>
        <v>11010011</v>
      </c>
      <c r="D213">
        <v>2</v>
      </c>
      <c r="E213" s="1" t="s">
        <v>7</v>
      </c>
      <c r="F213" t="s">
        <v>4</v>
      </c>
      <c r="G213" t="str">
        <f>IF(NOT(ISERROR(VLOOKUP(UPPER(E213),Tabelle3!A:A,1,FALSE))),"regulär","illegal")</f>
        <v>regulär</v>
      </c>
      <c r="H213" t="str">
        <f t="shared" si="14"/>
        <v>nop-implied</v>
      </c>
    </row>
    <row r="214" spans="1:8">
      <c r="A214">
        <f t="shared" si="15"/>
        <v>212</v>
      </c>
      <c r="B214" t="str">
        <f t="shared" si="12"/>
        <v>D4</v>
      </c>
      <c r="C214" t="str">
        <f t="shared" si="13"/>
        <v>11010100</v>
      </c>
      <c r="D214">
        <v>2</v>
      </c>
      <c r="E214" s="1" t="s">
        <v>7</v>
      </c>
      <c r="F214" t="s">
        <v>4</v>
      </c>
      <c r="G214" t="str">
        <f>IF(NOT(ISERROR(VLOOKUP(UPPER(E214),Tabelle3!A:A,1,FALSE))),"regulär","illegal")</f>
        <v>regulär</v>
      </c>
      <c r="H214" t="str">
        <f t="shared" si="14"/>
        <v>nop-implied</v>
      </c>
    </row>
    <row r="215" spans="1:8">
      <c r="A215">
        <f t="shared" si="15"/>
        <v>213</v>
      </c>
      <c r="B215" t="str">
        <f t="shared" si="12"/>
        <v>D5</v>
      </c>
      <c r="C215" t="str">
        <f t="shared" si="13"/>
        <v>11010101</v>
      </c>
      <c r="D215">
        <v>4</v>
      </c>
      <c r="E215" s="1" t="s">
        <v>73</v>
      </c>
      <c r="F215" t="s">
        <v>20</v>
      </c>
      <c r="G215" t="str">
        <f>IF(NOT(ISERROR(VLOOKUP(UPPER(E215),Tabelle3!A:A,1,FALSE))),"regulär","illegal")</f>
        <v>regulär</v>
      </c>
      <c r="H215" t="str">
        <f t="shared" si="14"/>
        <v>cmp-zpx</v>
      </c>
    </row>
    <row r="216" spans="1:8">
      <c r="A216">
        <f t="shared" si="15"/>
        <v>214</v>
      </c>
      <c r="B216" t="str">
        <f t="shared" si="12"/>
        <v>D6</v>
      </c>
      <c r="C216" t="str">
        <f t="shared" si="13"/>
        <v>11010110</v>
      </c>
      <c r="D216">
        <v>6</v>
      </c>
      <c r="E216" s="1" t="s">
        <v>74</v>
      </c>
      <c r="F216" t="s">
        <v>20</v>
      </c>
      <c r="G216" t="str">
        <f>IF(NOT(ISERROR(VLOOKUP(UPPER(E216),Tabelle3!A:A,1,FALSE))),"regulär","illegal")</f>
        <v>regulär</v>
      </c>
      <c r="H216" t="str">
        <f t="shared" si="14"/>
        <v>dec-zpx</v>
      </c>
    </row>
    <row r="217" spans="1:8">
      <c r="A217">
        <f t="shared" si="15"/>
        <v>215</v>
      </c>
      <c r="B217" t="str">
        <f t="shared" si="12"/>
        <v>D7</v>
      </c>
      <c r="C217" t="str">
        <f t="shared" si="13"/>
        <v>11010111</v>
      </c>
      <c r="D217">
        <v>2</v>
      </c>
      <c r="E217" s="1" t="s">
        <v>7</v>
      </c>
      <c r="F217" t="s">
        <v>4</v>
      </c>
      <c r="G217" t="str">
        <f>IF(NOT(ISERROR(VLOOKUP(UPPER(E217),Tabelle3!A:A,1,FALSE))),"regulär","illegal")</f>
        <v>regulär</v>
      </c>
      <c r="H217" t="str">
        <f t="shared" si="14"/>
        <v>nop-implied</v>
      </c>
    </row>
    <row r="218" spans="1:8">
      <c r="A218">
        <f t="shared" si="15"/>
        <v>216</v>
      </c>
      <c r="B218" t="str">
        <f t="shared" si="12"/>
        <v>D8</v>
      </c>
      <c r="C218" t="str">
        <f t="shared" si="13"/>
        <v>11011000</v>
      </c>
      <c r="D218">
        <v>2</v>
      </c>
      <c r="E218" s="1" t="s">
        <v>78</v>
      </c>
      <c r="F218" t="s">
        <v>4</v>
      </c>
      <c r="G218" t="str">
        <f>IF(NOT(ISERROR(VLOOKUP(UPPER(E218),Tabelle3!A:A,1,FALSE))),"regulär","illegal")</f>
        <v>regulär</v>
      </c>
      <c r="H218" t="str">
        <f t="shared" si="14"/>
        <v>cld-implied</v>
      </c>
    </row>
    <row r="219" spans="1:8">
      <c r="A219">
        <f t="shared" si="15"/>
        <v>217</v>
      </c>
      <c r="B219" t="str">
        <f t="shared" si="12"/>
        <v>D9</v>
      </c>
      <c r="C219" t="str">
        <f t="shared" si="13"/>
        <v>11011001</v>
      </c>
      <c r="D219">
        <v>4</v>
      </c>
      <c r="E219" s="1" t="s">
        <v>73</v>
      </c>
      <c r="F219" t="s">
        <v>22</v>
      </c>
      <c r="G219" t="str">
        <f>IF(NOT(ISERROR(VLOOKUP(UPPER(E219),Tabelle3!A:A,1,FALSE))),"regulär","illegal")</f>
        <v>regulär</v>
      </c>
      <c r="H219" t="str">
        <f t="shared" si="14"/>
        <v>cmp-absy</v>
      </c>
    </row>
    <row r="220" spans="1:8">
      <c r="A220">
        <f t="shared" si="15"/>
        <v>218</v>
      </c>
      <c r="B220" t="str">
        <f t="shared" si="12"/>
        <v>DA</v>
      </c>
      <c r="C220" t="str">
        <f t="shared" si="13"/>
        <v>11011010</v>
      </c>
      <c r="D220">
        <v>3</v>
      </c>
      <c r="E220" s="1" t="s">
        <v>79</v>
      </c>
      <c r="F220" t="s">
        <v>4</v>
      </c>
      <c r="G220" t="str">
        <f>IF(NOT(ISERROR(VLOOKUP(UPPER(E220),Tabelle3!A:A,1,FALSE))),"regulär","illegal")</f>
        <v>illegal</v>
      </c>
      <c r="H220" t="str">
        <f t="shared" si="14"/>
        <v>phx-implied</v>
      </c>
    </row>
    <row r="221" spans="1:8">
      <c r="A221">
        <f t="shared" si="15"/>
        <v>219</v>
      </c>
      <c r="B221" t="str">
        <f t="shared" si="12"/>
        <v>DB</v>
      </c>
      <c r="C221" t="str">
        <f t="shared" si="13"/>
        <v>11011011</v>
      </c>
      <c r="D221">
        <v>2</v>
      </c>
      <c r="E221" s="1" t="s">
        <v>7</v>
      </c>
      <c r="F221" t="s">
        <v>4</v>
      </c>
      <c r="G221" t="str">
        <f>IF(NOT(ISERROR(VLOOKUP(UPPER(E221),Tabelle3!A:A,1,FALSE))),"regulär","illegal")</f>
        <v>regulär</v>
      </c>
      <c r="H221" t="str">
        <f t="shared" si="14"/>
        <v>nop-implied</v>
      </c>
    </row>
    <row r="222" spans="1:8">
      <c r="A222">
        <f t="shared" si="15"/>
        <v>220</v>
      </c>
      <c r="B222" t="str">
        <f t="shared" si="12"/>
        <v>DC</v>
      </c>
      <c r="C222" t="str">
        <f t="shared" si="13"/>
        <v>11011100</v>
      </c>
      <c r="D222">
        <v>2</v>
      </c>
      <c r="E222" s="1" t="s">
        <v>7</v>
      </c>
      <c r="F222" t="s">
        <v>4</v>
      </c>
      <c r="G222" t="str">
        <f>IF(NOT(ISERROR(VLOOKUP(UPPER(E222),Tabelle3!A:A,1,FALSE))),"regulär","illegal")</f>
        <v>regulär</v>
      </c>
      <c r="H222" t="str">
        <f t="shared" si="14"/>
        <v>nop-implied</v>
      </c>
    </row>
    <row r="223" spans="1:8">
      <c r="A223">
        <f t="shared" si="15"/>
        <v>221</v>
      </c>
      <c r="B223" t="str">
        <f t="shared" si="12"/>
        <v>DD</v>
      </c>
      <c r="C223" t="str">
        <f t="shared" si="13"/>
        <v>11011101</v>
      </c>
      <c r="D223">
        <v>4</v>
      </c>
      <c r="E223" s="1" t="s">
        <v>73</v>
      </c>
      <c r="F223" t="s">
        <v>24</v>
      </c>
      <c r="G223" t="str">
        <f>IF(NOT(ISERROR(VLOOKUP(UPPER(E223),Tabelle3!A:A,1,FALSE))),"regulär","illegal")</f>
        <v>regulär</v>
      </c>
      <c r="H223" t="str">
        <f t="shared" si="14"/>
        <v>cmp-absx</v>
      </c>
    </row>
    <row r="224" spans="1:8">
      <c r="A224">
        <f t="shared" si="15"/>
        <v>222</v>
      </c>
      <c r="B224" t="str">
        <f t="shared" si="12"/>
        <v>DE</v>
      </c>
      <c r="C224" t="str">
        <f t="shared" si="13"/>
        <v>11011110</v>
      </c>
      <c r="D224">
        <v>7</v>
      </c>
      <c r="E224" s="1" t="s">
        <v>74</v>
      </c>
      <c r="F224" t="s">
        <v>24</v>
      </c>
      <c r="G224" t="str">
        <f>IF(NOT(ISERROR(VLOOKUP(UPPER(E224),Tabelle3!A:A,1,FALSE))),"regulär","illegal")</f>
        <v>regulär</v>
      </c>
      <c r="H224" t="str">
        <f t="shared" si="14"/>
        <v>dec-absx</v>
      </c>
    </row>
    <row r="225" spans="1:8">
      <c r="A225">
        <f t="shared" si="15"/>
        <v>223</v>
      </c>
      <c r="B225" t="str">
        <f t="shared" si="12"/>
        <v>DF</v>
      </c>
      <c r="C225" t="str">
        <f t="shared" si="13"/>
        <v>11011111</v>
      </c>
      <c r="D225">
        <v>2</v>
      </c>
      <c r="E225" s="1" t="s">
        <v>7</v>
      </c>
      <c r="F225" t="s">
        <v>4</v>
      </c>
      <c r="G225" t="str">
        <f>IF(NOT(ISERROR(VLOOKUP(UPPER(E225),Tabelle3!A:A,1,FALSE))),"regulär","illegal")</f>
        <v>regulär</v>
      </c>
      <c r="H225" t="str">
        <f t="shared" si="14"/>
        <v>nop-implied</v>
      </c>
    </row>
    <row r="226" spans="1:8">
      <c r="A226">
        <f t="shared" si="15"/>
        <v>224</v>
      </c>
      <c r="B226" t="str">
        <f t="shared" si="12"/>
        <v>E0</v>
      </c>
      <c r="C226" t="str">
        <f t="shared" si="13"/>
        <v>11100000</v>
      </c>
      <c r="D226">
        <v>3</v>
      </c>
      <c r="E226" s="1" t="s">
        <v>80</v>
      </c>
      <c r="F226" t="s">
        <v>12</v>
      </c>
      <c r="G226" t="str">
        <f>IF(NOT(ISERROR(VLOOKUP(UPPER(E226),Tabelle3!A:A,1,FALSE))),"regulär","illegal")</f>
        <v>regulär</v>
      </c>
      <c r="H226" t="str">
        <f t="shared" si="14"/>
        <v>cpx-immediate</v>
      </c>
    </row>
    <row r="227" spans="1:8">
      <c r="A227">
        <f t="shared" si="15"/>
        <v>225</v>
      </c>
      <c r="B227" t="str">
        <f t="shared" si="12"/>
        <v>E1</v>
      </c>
      <c r="C227" t="str">
        <f t="shared" si="13"/>
        <v>11100001</v>
      </c>
      <c r="D227">
        <v>6</v>
      </c>
      <c r="E227" s="1" t="s">
        <v>81</v>
      </c>
      <c r="F227" t="s">
        <v>6</v>
      </c>
      <c r="G227" t="str">
        <f>IF(NOT(ISERROR(VLOOKUP(UPPER(E227),Tabelle3!A:A,1,FALSE))),"regulär","illegal")</f>
        <v>regulär</v>
      </c>
      <c r="H227" t="str">
        <f t="shared" si="14"/>
        <v>sbc-indx</v>
      </c>
    </row>
    <row r="228" spans="1:8">
      <c r="A228">
        <f t="shared" si="15"/>
        <v>226</v>
      </c>
      <c r="B228" t="str">
        <f t="shared" si="12"/>
        <v>E2</v>
      </c>
      <c r="C228" t="str">
        <f t="shared" si="13"/>
        <v>11100010</v>
      </c>
      <c r="D228">
        <v>2</v>
      </c>
      <c r="E228" s="1" t="s">
        <v>7</v>
      </c>
      <c r="F228" t="s">
        <v>4</v>
      </c>
      <c r="G228" t="str">
        <f>IF(NOT(ISERROR(VLOOKUP(UPPER(E228),Tabelle3!A:A,1,FALSE))),"regulär","illegal")</f>
        <v>regulär</v>
      </c>
      <c r="H228" t="str">
        <f t="shared" si="14"/>
        <v>nop-implied</v>
      </c>
    </row>
    <row r="229" spans="1:8">
      <c r="A229">
        <f t="shared" si="15"/>
        <v>227</v>
      </c>
      <c r="B229" t="str">
        <f t="shared" si="12"/>
        <v>E3</v>
      </c>
      <c r="C229" t="str">
        <f t="shared" si="13"/>
        <v>11100011</v>
      </c>
      <c r="D229">
        <v>2</v>
      </c>
      <c r="E229" s="1" t="s">
        <v>7</v>
      </c>
      <c r="F229" t="s">
        <v>4</v>
      </c>
      <c r="G229" t="str">
        <f>IF(NOT(ISERROR(VLOOKUP(UPPER(E229),Tabelle3!A:A,1,FALSE))),"regulär","illegal")</f>
        <v>regulär</v>
      </c>
      <c r="H229" t="str">
        <f t="shared" si="14"/>
        <v>nop-implied</v>
      </c>
    </row>
    <row r="230" spans="1:8">
      <c r="A230">
        <f t="shared" si="15"/>
        <v>228</v>
      </c>
      <c r="B230" t="str">
        <f t="shared" si="12"/>
        <v>E4</v>
      </c>
      <c r="C230" t="str">
        <f t="shared" si="13"/>
        <v>11100100</v>
      </c>
      <c r="D230">
        <v>3</v>
      </c>
      <c r="E230" s="1" t="s">
        <v>80</v>
      </c>
      <c r="F230" t="s">
        <v>9</v>
      </c>
      <c r="G230" t="str">
        <f>IF(NOT(ISERROR(VLOOKUP(UPPER(E230),Tabelle3!A:A,1,FALSE))),"regulär","illegal")</f>
        <v>regulär</v>
      </c>
      <c r="H230" t="str">
        <f t="shared" si="14"/>
        <v>cpx-zp</v>
      </c>
    </row>
    <row r="231" spans="1:8">
      <c r="A231">
        <f t="shared" si="15"/>
        <v>229</v>
      </c>
      <c r="B231" t="str">
        <f t="shared" si="12"/>
        <v>E5</v>
      </c>
      <c r="C231" t="str">
        <f t="shared" si="13"/>
        <v>11100101</v>
      </c>
      <c r="D231">
        <v>3</v>
      </c>
      <c r="E231" s="1" t="s">
        <v>81</v>
      </c>
      <c r="F231" t="s">
        <v>9</v>
      </c>
      <c r="G231" t="str">
        <f>IF(NOT(ISERROR(VLOOKUP(UPPER(E231),Tabelle3!A:A,1,FALSE))),"regulär","illegal")</f>
        <v>regulär</v>
      </c>
      <c r="H231" t="str">
        <f t="shared" si="14"/>
        <v>sbc-zp</v>
      </c>
    </row>
    <row r="232" spans="1:8">
      <c r="A232">
        <f t="shared" si="15"/>
        <v>230</v>
      </c>
      <c r="B232" t="str">
        <f t="shared" si="12"/>
        <v>E6</v>
      </c>
      <c r="C232" t="str">
        <f t="shared" si="13"/>
        <v>11100110</v>
      </c>
      <c r="D232">
        <v>5</v>
      </c>
      <c r="E232" s="1" t="s">
        <v>82</v>
      </c>
      <c r="F232" t="s">
        <v>9</v>
      </c>
      <c r="G232" t="str">
        <f>IF(NOT(ISERROR(VLOOKUP(UPPER(E232),Tabelle3!A:A,1,FALSE))),"regulär","illegal")</f>
        <v>regulär</v>
      </c>
      <c r="H232" t="str">
        <f t="shared" si="14"/>
        <v>inc-zp</v>
      </c>
    </row>
    <row r="233" spans="1:8">
      <c r="A233">
        <f t="shared" si="15"/>
        <v>231</v>
      </c>
      <c r="B233" t="str">
        <f t="shared" si="12"/>
        <v>E7</v>
      </c>
      <c r="C233" t="str">
        <f t="shared" si="13"/>
        <v>11100111</v>
      </c>
      <c r="D233">
        <v>2</v>
      </c>
      <c r="E233" s="1" t="s">
        <v>7</v>
      </c>
      <c r="F233" t="s">
        <v>4</v>
      </c>
      <c r="G233" t="str">
        <f>IF(NOT(ISERROR(VLOOKUP(UPPER(E233),Tabelle3!A:A,1,FALSE))),"regulär","illegal")</f>
        <v>regulär</v>
      </c>
      <c r="H233" t="str">
        <f t="shared" si="14"/>
        <v>nop-implied</v>
      </c>
    </row>
    <row r="234" spans="1:8">
      <c r="A234">
        <f t="shared" si="15"/>
        <v>232</v>
      </c>
      <c r="B234" t="str">
        <f t="shared" si="12"/>
        <v>E8</v>
      </c>
      <c r="C234" t="str">
        <f t="shared" si="13"/>
        <v>11101000</v>
      </c>
      <c r="D234">
        <v>2</v>
      </c>
      <c r="E234" s="1" t="s">
        <v>83</v>
      </c>
      <c r="F234" t="s">
        <v>4</v>
      </c>
      <c r="G234" t="str">
        <f>IF(NOT(ISERROR(VLOOKUP(UPPER(E234),Tabelle3!A:A,1,FALSE))),"regulär","illegal")</f>
        <v>regulär</v>
      </c>
      <c r="H234" t="str">
        <f t="shared" si="14"/>
        <v>inx-implied</v>
      </c>
    </row>
    <row r="235" spans="1:8">
      <c r="A235">
        <f t="shared" si="15"/>
        <v>233</v>
      </c>
      <c r="B235" t="str">
        <f t="shared" si="12"/>
        <v>E9</v>
      </c>
      <c r="C235" t="str">
        <f t="shared" si="13"/>
        <v>11101001</v>
      </c>
      <c r="D235">
        <v>3</v>
      </c>
      <c r="E235" s="1" t="s">
        <v>81</v>
      </c>
      <c r="F235" t="s">
        <v>12</v>
      </c>
      <c r="G235" t="str">
        <f>IF(NOT(ISERROR(VLOOKUP(UPPER(E235),Tabelle3!A:A,1,FALSE))),"regulär","illegal")</f>
        <v>regulär</v>
      </c>
      <c r="H235" t="str">
        <f t="shared" si="14"/>
        <v>sbc-immediate</v>
      </c>
    </row>
    <row r="236" spans="1:8">
      <c r="A236">
        <f t="shared" si="15"/>
        <v>234</v>
      </c>
      <c r="B236" t="str">
        <f t="shared" si="12"/>
        <v>EA</v>
      </c>
      <c r="C236" t="str">
        <f t="shared" si="13"/>
        <v>11101010</v>
      </c>
      <c r="D236">
        <v>2</v>
      </c>
      <c r="E236" s="1" t="s">
        <v>7</v>
      </c>
      <c r="F236" t="s">
        <v>4</v>
      </c>
      <c r="G236" t="str">
        <f>IF(NOT(ISERROR(VLOOKUP(UPPER(E236),Tabelle3!A:A,1,FALSE))),"regulär","illegal")</f>
        <v>regulär</v>
      </c>
      <c r="H236" t="str">
        <f t="shared" si="14"/>
        <v>nop-implied</v>
      </c>
    </row>
    <row r="237" spans="1:8">
      <c r="A237">
        <f t="shared" si="15"/>
        <v>235</v>
      </c>
      <c r="B237" t="str">
        <f t="shared" si="12"/>
        <v>EB</v>
      </c>
      <c r="C237" t="str">
        <f t="shared" si="13"/>
        <v>11101011</v>
      </c>
      <c r="D237">
        <v>2</v>
      </c>
      <c r="E237" s="1" t="s">
        <v>7</v>
      </c>
      <c r="F237" t="s">
        <v>4</v>
      </c>
      <c r="G237" t="str">
        <f>IF(NOT(ISERROR(VLOOKUP(UPPER(E237),Tabelle3!A:A,1,FALSE))),"regulär","illegal")</f>
        <v>regulär</v>
      </c>
      <c r="H237" t="str">
        <f t="shared" si="14"/>
        <v>nop-implied</v>
      </c>
    </row>
    <row r="238" spans="1:8">
      <c r="A238">
        <f t="shared" si="15"/>
        <v>236</v>
      </c>
      <c r="B238" t="str">
        <f t="shared" si="12"/>
        <v>EC</v>
      </c>
      <c r="C238" t="str">
        <f t="shared" si="13"/>
        <v>11101100</v>
      </c>
      <c r="D238">
        <v>4</v>
      </c>
      <c r="E238" s="1" t="s">
        <v>80</v>
      </c>
      <c r="F238" t="s">
        <v>14</v>
      </c>
      <c r="G238" t="str">
        <f>IF(NOT(ISERROR(VLOOKUP(UPPER(E238),Tabelle3!A:A,1,FALSE))),"regulär","illegal")</f>
        <v>regulär</v>
      </c>
      <c r="H238" t="str">
        <f t="shared" si="14"/>
        <v>cpx-abs</v>
      </c>
    </row>
    <row r="239" spans="1:8">
      <c r="A239">
        <f t="shared" si="15"/>
        <v>237</v>
      </c>
      <c r="B239" t="str">
        <f t="shared" si="12"/>
        <v>ED</v>
      </c>
      <c r="C239" t="str">
        <f t="shared" si="13"/>
        <v>11101101</v>
      </c>
      <c r="D239">
        <v>4</v>
      </c>
      <c r="E239" s="1" t="s">
        <v>81</v>
      </c>
      <c r="F239" t="s">
        <v>14</v>
      </c>
      <c r="G239" t="str">
        <f>IF(NOT(ISERROR(VLOOKUP(UPPER(E239),Tabelle3!A:A,1,FALSE))),"regulär","illegal")</f>
        <v>regulär</v>
      </c>
      <c r="H239" t="str">
        <f t="shared" si="14"/>
        <v>sbc-abs</v>
      </c>
    </row>
    <row r="240" spans="1:8">
      <c r="A240">
        <f t="shared" si="15"/>
        <v>238</v>
      </c>
      <c r="B240" t="str">
        <f t="shared" si="12"/>
        <v>EE</v>
      </c>
      <c r="C240" t="str">
        <f t="shared" si="13"/>
        <v>11101110</v>
      </c>
      <c r="D240">
        <v>6</v>
      </c>
      <c r="E240" s="1" t="s">
        <v>82</v>
      </c>
      <c r="F240" t="s">
        <v>14</v>
      </c>
      <c r="G240" t="str">
        <f>IF(NOT(ISERROR(VLOOKUP(UPPER(E240),Tabelle3!A:A,1,FALSE))),"regulär","illegal")</f>
        <v>regulär</v>
      </c>
      <c r="H240" t="str">
        <f t="shared" si="14"/>
        <v>inc-abs</v>
      </c>
    </row>
    <row r="241" spans="1:8">
      <c r="A241">
        <f t="shared" si="15"/>
        <v>239</v>
      </c>
      <c r="B241" t="str">
        <f t="shared" si="12"/>
        <v>EF</v>
      </c>
      <c r="C241" t="str">
        <f t="shared" si="13"/>
        <v>11101111</v>
      </c>
      <c r="D241">
        <v>2</v>
      </c>
      <c r="E241" s="1" t="s">
        <v>7</v>
      </c>
      <c r="F241" t="s">
        <v>4</v>
      </c>
      <c r="G241" t="str">
        <f>IF(NOT(ISERROR(VLOOKUP(UPPER(E241),Tabelle3!A:A,1,FALSE))),"regulär","illegal")</f>
        <v>regulär</v>
      </c>
      <c r="H241" t="str">
        <f t="shared" si="14"/>
        <v>nop-implied</v>
      </c>
    </row>
    <row r="242" spans="1:8">
      <c r="A242">
        <f t="shared" si="15"/>
        <v>240</v>
      </c>
      <c r="B242" t="str">
        <f t="shared" si="12"/>
        <v>F0</v>
      </c>
      <c r="C242" t="str">
        <f t="shared" si="13"/>
        <v>11110000</v>
      </c>
      <c r="D242">
        <v>2</v>
      </c>
      <c r="E242" s="1" t="s">
        <v>84</v>
      </c>
      <c r="F242" t="s">
        <v>16</v>
      </c>
      <c r="G242" t="str">
        <f>IF(NOT(ISERROR(VLOOKUP(UPPER(E242),Tabelle3!A:A,1,FALSE))),"regulär","illegal")</f>
        <v>regulär</v>
      </c>
      <c r="H242" t="str">
        <f t="shared" si="14"/>
        <v>beq-relative</v>
      </c>
    </row>
    <row r="243" spans="1:8">
      <c r="A243">
        <f t="shared" si="15"/>
        <v>241</v>
      </c>
      <c r="B243" t="str">
        <f t="shared" si="12"/>
        <v>F1</v>
      </c>
      <c r="C243" t="str">
        <f t="shared" si="13"/>
        <v>11110001</v>
      </c>
      <c r="D243">
        <v>5</v>
      </c>
      <c r="E243" s="1" t="s">
        <v>81</v>
      </c>
      <c r="F243" t="s">
        <v>17</v>
      </c>
      <c r="G243" t="str">
        <f>IF(NOT(ISERROR(VLOOKUP(UPPER(E243),Tabelle3!A:A,1,FALSE))),"regulär","illegal")</f>
        <v>regulär</v>
      </c>
      <c r="H243" t="str">
        <f t="shared" si="14"/>
        <v>sbc-indy</v>
      </c>
    </row>
    <row r="244" spans="1:8">
      <c r="A244">
        <f t="shared" si="15"/>
        <v>242</v>
      </c>
      <c r="B244" t="str">
        <f t="shared" si="12"/>
        <v>F2</v>
      </c>
      <c r="C244" t="str">
        <f t="shared" si="13"/>
        <v>11110010</v>
      </c>
      <c r="D244">
        <v>3</v>
      </c>
      <c r="E244" s="1" t="s">
        <v>81</v>
      </c>
      <c r="F244" t="s">
        <v>18</v>
      </c>
      <c r="G244" t="str">
        <f>IF(NOT(ISERROR(VLOOKUP(UPPER(E244),Tabelle3!A:A,1,FALSE))),"regulär","illegal")</f>
        <v>regulär</v>
      </c>
      <c r="H244" t="str">
        <f t="shared" si="14"/>
        <v>sbc-indzp</v>
      </c>
    </row>
    <row r="245" spans="1:8">
      <c r="A245">
        <f t="shared" si="15"/>
        <v>243</v>
      </c>
      <c r="B245" t="str">
        <f t="shared" si="12"/>
        <v>F3</v>
      </c>
      <c r="C245" t="str">
        <f t="shared" si="13"/>
        <v>11110011</v>
      </c>
      <c r="D245">
        <v>2</v>
      </c>
      <c r="E245" s="1" t="s">
        <v>7</v>
      </c>
      <c r="F245" t="s">
        <v>4</v>
      </c>
      <c r="G245" t="str">
        <f>IF(NOT(ISERROR(VLOOKUP(UPPER(E245),Tabelle3!A:A,1,FALSE))),"regulär","illegal")</f>
        <v>regulär</v>
      </c>
      <c r="H245" t="str">
        <f t="shared" si="14"/>
        <v>nop-implied</v>
      </c>
    </row>
    <row r="246" spans="1:8">
      <c r="A246">
        <f t="shared" si="15"/>
        <v>244</v>
      </c>
      <c r="B246" t="str">
        <f t="shared" si="12"/>
        <v>F4</v>
      </c>
      <c r="C246" t="str">
        <f t="shared" si="13"/>
        <v>11110100</v>
      </c>
      <c r="D246">
        <v>2</v>
      </c>
      <c r="E246" s="1" t="s">
        <v>7</v>
      </c>
      <c r="F246" t="s">
        <v>4</v>
      </c>
      <c r="G246" t="str">
        <f>IF(NOT(ISERROR(VLOOKUP(UPPER(E246),Tabelle3!A:A,1,FALSE))),"regulär","illegal")</f>
        <v>regulär</v>
      </c>
      <c r="H246" t="str">
        <f t="shared" si="14"/>
        <v>nop-implied</v>
      </c>
    </row>
    <row r="247" spans="1:8">
      <c r="A247">
        <f t="shared" si="15"/>
        <v>245</v>
      </c>
      <c r="B247" t="str">
        <f t="shared" si="12"/>
        <v>F5</v>
      </c>
      <c r="C247" t="str">
        <f t="shared" si="13"/>
        <v>11110101</v>
      </c>
      <c r="D247">
        <v>4</v>
      </c>
      <c r="E247" s="1" t="s">
        <v>81</v>
      </c>
      <c r="F247" t="s">
        <v>20</v>
      </c>
      <c r="G247" t="str">
        <f>IF(NOT(ISERROR(VLOOKUP(UPPER(E247),Tabelle3!A:A,1,FALSE))),"regulär","illegal")</f>
        <v>regulär</v>
      </c>
      <c r="H247" t="str">
        <f t="shared" si="14"/>
        <v>sbc-zpx</v>
      </c>
    </row>
    <row r="248" spans="1:8">
      <c r="A248">
        <f t="shared" si="15"/>
        <v>246</v>
      </c>
      <c r="B248" t="str">
        <f t="shared" si="12"/>
        <v>F6</v>
      </c>
      <c r="C248" t="str">
        <f t="shared" si="13"/>
        <v>11110110</v>
      </c>
      <c r="D248">
        <v>6</v>
      </c>
      <c r="E248" s="1" t="s">
        <v>82</v>
      </c>
      <c r="F248" t="s">
        <v>20</v>
      </c>
      <c r="G248" t="str">
        <f>IF(NOT(ISERROR(VLOOKUP(UPPER(E248),Tabelle3!A:A,1,FALSE))),"regulär","illegal")</f>
        <v>regulär</v>
      </c>
      <c r="H248" t="str">
        <f t="shared" si="14"/>
        <v>inc-zpx</v>
      </c>
    </row>
    <row r="249" spans="1:8">
      <c r="A249">
        <f t="shared" si="15"/>
        <v>247</v>
      </c>
      <c r="B249" t="str">
        <f t="shared" si="12"/>
        <v>F7</v>
      </c>
      <c r="C249" t="str">
        <f t="shared" si="13"/>
        <v>11110111</v>
      </c>
      <c r="D249">
        <v>2</v>
      </c>
      <c r="E249" s="1" t="s">
        <v>7</v>
      </c>
      <c r="F249" t="s">
        <v>4</v>
      </c>
      <c r="G249" t="str">
        <f>IF(NOT(ISERROR(VLOOKUP(UPPER(E249),Tabelle3!A:A,1,FALSE))),"regulär","illegal")</f>
        <v>regulär</v>
      </c>
      <c r="H249" t="str">
        <f t="shared" si="14"/>
        <v>nop-implied</v>
      </c>
    </row>
    <row r="250" spans="1:8">
      <c r="A250">
        <f t="shared" si="15"/>
        <v>248</v>
      </c>
      <c r="B250" t="str">
        <f t="shared" si="12"/>
        <v>F8</v>
      </c>
      <c r="C250" t="str">
        <f t="shared" si="13"/>
        <v>11111000</v>
      </c>
      <c r="D250">
        <v>2</v>
      </c>
      <c r="E250" s="1" t="s">
        <v>85</v>
      </c>
      <c r="F250" t="s">
        <v>4</v>
      </c>
      <c r="G250" t="str">
        <f>IF(NOT(ISERROR(VLOOKUP(UPPER(E250),Tabelle3!A:A,1,FALSE))),"regulär","illegal")</f>
        <v>regulär</v>
      </c>
      <c r="H250" t="str">
        <f t="shared" si="14"/>
        <v>sed-implied</v>
      </c>
    </row>
    <row r="251" spans="1:8">
      <c r="A251">
        <f t="shared" si="15"/>
        <v>249</v>
      </c>
      <c r="B251" t="str">
        <f t="shared" si="12"/>
        <v>F9</v>
      </c>
      <c r="C251" t="str">
        <f t="shared" si="13"/>
        <v>11111001</v>
      </c>
      <c r="D251">
        <v>4</v>
      </c>
      <c r="E251" s="1" t="s">
        <v>81</v>
      </c>
      <c r="F251" t="s">
        <v>22</v>
      </c>
      <c r="G251" t="str">
        <f>IF(NOT(ISERROR(VLOOKUP(UPPER(E251),Tabelle3!A:A,1,FALSE))),"regulär","illegal")</f>
        <v>regulär</v>
      </c>
      <c r="H251" t="str">
        <f t="shared" si="14"/>
        <v>sbc-absy</v>
      </c>
    </row>
    <row r="252" spans="1:8">
      <c r="A252">
        <f t="shared" si="15"/>
        <v>250</v>
      </c>
      <c r="B252" t="str">
        <f t="shared" si="12"/>
        <v>FA</v>
      </c>
      <c r="C252" t="str">
        <f t="shared" si="13"/>
        <v>11111010</v>
      </c>
      <c r="D252">
        <v>4</v>
      </c>
      <c r="E252" s="1" t="s">
        <v>86</v>
      </c>
      <c r="F252" t="s">
        <v>4</v>
      </c>
      <c r="G252" t="str">
        <f>IF(NOT(ISERROR(VLOOKUP(UPPER(E252),Tabelle3!A:A,1,FALSE))),"regulär","illegal")</f>
        <v>illegal</v>
      </c>
      <c r="H252" t="str">
        <f t="shared" si="14"/>
        <v>plx-implied</v>
      </c>
    </row>
    <row r="253" spans="1:8">
      <c r="A253">
        <f t="shared" si="15"/>
        <v>251</v>
      </c>
      <c r="B253" t="str">
        <f t="shared" si="12"/>
        <v>FB</v>
      </c>
      <c r="C253" t="str">
        <f t="shared" si="13"/>
        <v>11111011</v>
      </c>
      <c r="D253">
        <v>2</v>
      </c>
      <c r="E253" s="1" t="s">
        <v>7</v>
      </c>
      <c r="F253" t="s">
        <v>4</v>
      </c>
      <c r="G253" t="str">
        <f>IF(NOT(ISERROR(VLOOKUP(UPPER(E253),Tabelle3!A:A,1,FALSE))),"regulär","illegal")</f>
        <v>regulär</v>
      </c>
      <c r="H253" t="str">
        <f t="shared" si="14"/>
        <v>nop-implied</v>
      </c>
    </row>
    <row r="254" spans="1:8">
      <c r="A254">
        <f t="shared" si="15"/>
        <v>252</v>
      </c>
      <c r="B254" t="str">
        <f t="shared" si="12"/>
        <v>FC</v>
      </c>
      <c r="C254" t="str">
        <f t="shared" si="13"/>
        <v>11111100</v>
      </c>
      <c r="D254">
        <v>2</v>
      </c>
      <c r="E254" s="1" t="s">
        <v>7</v>
      </c>
      <c r="F254" t="s">
        <v>4</v>
      </c>
      <c r="G254" t="str">
        <f>IF(NOT(ISERROR(VLOOKUP(UPPER(E254),Tabelle3!A:A,1,FALSE))),"regulär","illegal")</f>
        <v>regulär</v>
      </c>
      <c r="H254" t="str">
        <f t="shared" si="14"/>
        <v>nop-implied</v>
      </c>
    </row>
    <row r="255" spans="1:8">
      <c r="A255">
        <f t="shared" si="15"/>
        <v>253</v>
      </c>
      <c r="B255" t="str">
        <f t="shared" si="12"/>
        <v>FD</v>
      </c>
      <c r="C255" t="str">
        <f t="shared" si="13"/>
        <v>11111101</v>
      </c>
      <c r="D255">
        <v>4</v>
      </c>
      <c r="E255" s="1" t="s">
        <v>81</v>
      </c>
      <c r="F255" t="s">
        <v>24</v>
      </c>
      <c r="G255" t="str">
        <f>IF(NOT(ISERROR(VLOOKUP(UPPER(E255),Tabelle3!A:A,1,FALSE))),"regulär","illegal")</f>
        <v>regulär</v>
      </c>
      <c r="H255" t="str">
        <f t="shared" si="14"/>
        <v>sbc-absx</v>
      </c>
    </row>
    <row r="256" spans="1:8">
      <c r="A256">
        <f t="shared" si="15"/>
        <v>254</v>
      </c>
      <c r="B256" t="str">
        <f t="shared" si="12"/>
        <v>FE</v>
      </c>
      <c r="C256" t="str">
        <f t="shared" si="13"/>
        <v>11111110</v>
      </c>
      <c r="D256">
        <v>7</v>
      </c>
      <c r="E256" s="1" t="s">
        <v>82</v>
      </c>
      <c r="F256" t="s">
        <v>24</v>
      </c>
      <c r="G256" t="str">
        <f>IF(NOT(ISERROR(VLOOKUP(UPPER(E256),Tabelle3!A:A,1,FALSE))),"regulär","illegal")</f>
        <v>regulär</v>
      </c>
      <c r="H256" t="str">
        <f t="shared" si="14"/>
        <v>inc-absx</v>
      </c>
    </row>
    <row r="257" spans="1:8">
      <c r="A257">
        <f t="shared" si="15"/>
        <v>255</v>
      </c>
      <c r="B257" t="str">
        <f t="shared" si="12"/>
        <v>FF</v>
      </c>
      <c r="C257" t="str">
        <f t="shared" si="13"/>
        <v>11111111</v>
      </c>
      <c r="D257">
        <v>2</v>
      </c>
      <c r="E257" s="1" t="s">
        <v>7</v>
      </c>
      <c r="F257" t="s">
        <v>4</v>
      </c>
      <c r="G257" t="str">
        <f>IF(NOT(ISERROR(VLOOKUP(UPPER(E257),Tabelle3!A:A,1,FALSE))),"regulär","illegal")</f>
        <v>regulär</v>
      </c>
      <c r="H257" t="str">
        <f t="shared" si="14"/>
        <v>nop-implied</v>
      </c>
    </row>
  </sheetData>
  <autoFilter ref="A1:F257">
    <filterColumn colId="1"/>
    <filterColumn colId="2"/>
  </autoFilter>
  <pageMargins left="0.7" right="0.7" top="0.78740157499999996" bottom="0.78740157499999996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 filterMode="1"/>
  <dimension ref="A1:P71"/>
  <sheetViews>
    <sheetView workbookViewId="0">
      <selection activeCell="H19" sqref="H19"/>
    </sheetView>
  </sheetViews>
  <sheetFormatPr baseColWidth="10" defaultRowHeight="14.25"/>
  <cols>
    <col min="2" max="2" width="11" style="2"/>
    <col min="3" max="16" width="3.125" bestFit="1" customWidth="1"/>
  </cols>
  <sheetData>
    <row r="1" spans="1:16" ht="56.25">
      <c r="A1" t="s">
        <v>144</v>
      </c>
      <c r="B1" s="2" t="s">
        <v>145</v>
      </c>
      <c r="C1" s="3" t="s">
        <v>4</v>
      </c>
      <c r="D1" s="3" t="s">
        <v>6</v>
      </c>
      <c r="E1" s="3" t="s">
        <v>9</v>
      </c>
      <c r="F1" s="3" t="s">
        <v>12</v>
      </c>
      <c r="G1" s="3" t="s">
        <v>14</v>
      </c>
      <c r="H1" s="3" t="s">
        <v>16</v>
      </c>
      <c r="I1" s="3" t="s">
        <v>17</v>
      </c>
      <c r="J1" s="3" t="s">
        <v>18</v>
      </c>
      <c r="K1" s="3" t="s">
        <v>20</v>
      </c>
      <c r="L1" s="3" t="s">
        <v>22</v>
      </c>
      <c r="M1" s="3" t="s">
        <v>24</v>
      </c>
      <c r="N1" s="3" t="s">
        <v>49</v>
      </c>
      <c r="O1" s="3" t="s">
        <v>53</v>
      </c>
      <c r="P1" s="3" t="s">
        <v>61</v>
      </c>
    </row>
    <row r="2" spans="1:16">
      <c r="A2" s="1" t="s">
        <v>3</v>
      </c>
      <c r="B2" s="2" t="str">
        <f>VLOOKUP(A2,Tabelle1!$E$2:$G$257,3,FALSE)</f>
        <v>regulär</v>
      </c>
      <c r="C2" t="str">
        <f>IF(ISERROR(VLOOKUP($A2&amp;"-"&amp;C$1,Tabelle1!$H$2:$H$257,1,FALSE)),"","X")</f>
        <v>X</v>
      </c>
      <c r="D2" t="str">
        <f>IF(ISERROR(VLOOKUP($A2&amp;"-"&amp;D$1,Tabelle1!$H$2:$H$257,1,FALSE)),"","X")</f>
        <v/>
      </c>
      <c r="E2" t="str">
        <f>IF(ISERROR(VLOOKUP($A2&amp;"-"&amp;E$1,Tabelle1!$H$2:$H$257,1,FALSE)),"","X")</f>
        <v/>
      </c>
      <c r="F2" t="str">
        <f>IF(ISERROR(VLOOKUP($A2&amp;"-"&amp;F$1,Tabelle1!$H$2:$H$257,1,FALSE)),"","X")</f>
        <v/>
      </c>
      <c r="G2" t="str">
        <f>IF(ISERROR(VLOOKUP($A2&amp;"-"&amp;G$1,Tabelle1!$H$2:$H$257,1,FALSE)),"","X")</f>
        <v/>
      </c>
      <c r="H2" t="str">
        <f>IF(ISERROR(VLOOKUP($A2&amp;"-"&amp;H$1,Tabelle1!$H$2:$H$257,1,FALSE)),"","X")</f>
        <v/>
      </c>
      <c r="I2" t="str">
        <f>IF(ISERROR(VLOOKUP($A2&amp;"-"&amp;I$1,Tabelle1!$H$2:$H$257,1,FALSE)),"","X")</f>
        <v/>
      </c>
      <c r="J2" t="str">
        <f>IF(ISERROR(VLOOKUP($A2&amp;"-"&amp;J$1,Tabelle1!$H$2:$H$257,1,FALSE)),"","X")</f>
        <v/>
      </c>
      <c r="K2" t="str">
        <f>IF(ISERROR(VLOOKUP($A2&amp;"-"&amp;K$1,Tabelle1!$H$2:$H$257,1,FALSE)),"","X")</f>
        <v/>
      </c>
      <c r="L2" t="str">
        <f>IF(ISERROR(VLOOKUP($A2&amp;"-"&amp;L$1,Tabelle1!$H$2:$H$257,1,FALSE)),"","X")</f>
        <v/>
      </c>
      <c r="M2" t="str">
        <f>IF(ISERROR(VLOOKUP($A2&amp;"-"&amp;M$1,Tabelle1!$H$2:$H$257,1,FALSE)),"","X")</f>
        <v/>
      </c>
      <c r="N2" t="str">
        <f>IF(ISERROR(VLOOKUP($A2&amp;"-"&amp;N$1,Tabelle1!$H$2:$H$257,1,FALSE)),"","X")</f>
        <v/>
      </c>
      <c r="O2" t="str">
        <f>IF(ISERROR(VLOOKUP($A2&amp;"-"&amp;O$1,Tabelle1!$H$2:$H$257,1,FALSE)),"","X")</f>
        <v/>
      </c>
      <c r="P2" t="str">
        <f>IF(ISERROR(VLOOKUP($A2&amp;"-"&amp;P$1,Tabelle1!$H$2:$H$257,1,FALSE)),"","X")</f>
        <v/>
      </c>
    </row>
    <row r="3" spans="1:16">
      <c r="A3" s="1" t="s">
        <v>5</v>
      </c>
      <c r="B3" s="2" t="str">
        <f>VLOOKUP(A3,Tabelle1!$E$2:$G$257,3,FALSE)</f>
        <v>regulär</v>
      </c>
      <c r="C3" t="str">
        <f>IF(ISERROR(VLOOKUP($A3&amp;"-"&amp;C$1,Tabelle1!$H$2:$H$257,1,FALSE)),"","X")</f>
        <v/>
      </c>
      <c r="D3" t="str">
        <f>IF(ISERROR(VLOOKUP($A3&amp;"-"&amp;D$1,Tabelle1!$H$2:$H$257,1,FALSE)),"","X")</f>
        <v>X</v>
      </c>
      <c r="E3" t="str">
        <f>IF(ISERROR(VLOOKUP($A3&amp;"-"&amp;E$1,Tabelle1!$H$2:$H$257,1,FALSE)),"","X")</f>
        <v>X</v>
      </c>
      <c r="F3" t="str">
        <f>IF(ISERROR(VLOOKUP($A3&amp;"-"&amp;F$1,Tabelle1!$H$2:$H$257,1,FALSE)),"","X")</f>
        <v>X</v>
      </c>
      <c r="G3" t="str">
        <f>IF(ISERROR(VLOOKUP($A3&amp;"-"&amp;G$1,Tabelle1!$H$2:$H$257,1,FALSE)),"","X")</f>
        <v>X</v>
      </c>
      <c r="H3" t="str">
        <f>IF(ISERROR(VLOOKUP($A3&amp;"-"&amp;H$1,Tabelle1!$H$2:$H$257,1,FALSE)),"","X")</f>
        <v/>
      </c>
      <c r="I3" t="str">
        <f>IF(ISERROR(VLOOKUP($A3&amp;"-"&amp;I$1,Tabelle1!$H$2:$H$257,1,FALSE)),"","X")</f>
        <v>X</v>
      </c>
      <c r="J3" t="str">
        <f>IF(ISERROR(VLOOKUP($A3&amp;"-"&amp;J$1,Tabelle1!$H$2:$H$257,1,FALSE)),"","X")</f>
        <v>X</v>
      </c>
      <c r="K3" t="str">
        <f>IF(ISERROR(VLOOKUP($A3&amp;"-"&amp;K$1,Tabelle1!$H$2:$H$257,1,FALSE)),"","X")</f>
        <v>X</v>
      </c>
      <c r="L3" t="str">
        <f>IF(ISERROR(VLOOKUP($A3&amp;"-"&amp;L$1,Tabelle1!$H$2:$H$257,1,FALSE)),"","X")</f>
        <v>X</v>
      </c>
      <c r="M3" t="str">
        <f>IF(ISERROR(VLOOKUP($A3&amp;"-"&amp;M$1,Tabelle1!$H$2:$H$257,1,FALSE)),"","X")</f>
        <v>X</v>
      </c>
      <c r="N3" t="str">
        <f>IF(ISERROR(VLOOKUP($A3&amp;"-"&amp;N$1,Tabelle1!$H$2:$H$257,1,FALSE)),"","X")</f>
        <v/>
      </c>
      <c r="O3" t="str">
        <f>IF(ISERROR(VLOOKUP($A3&amp;"-"&amp;O$1,Tabelle1!$H$2:$H$257,1,FALSE)),"","X")</f>
        <v/>
      </c>
      <c r="P3" t="str">
        <f>IF(ISERROR(VLOOKUP($A3&amp;"-"&amp;P$1,Tabelle1!$H$2:$H$257,1,FALSE)),"","X")</f>
        <v/>
      </c>
    </row>
    <row r="4" spans="1:16">
      <c r="A4" s="1" t="s">
        <v>7</v>
      </c>
      <c r="B4" s="2" t="str">
        <f>VLOOKUP(A4,Tabelle1!$E$2:$G$257,3,FALSE)</f>
        <v>regulär</v>
      </c>
      <c r="C4" t="str">
        <f>IF(ISERROR(VLOOKUP($A4&amp;"-"&amp;C$1,Tabelle1!$H$2:$H$257,1,FALSE)),"","X")</f>
        <v>X</v>
      </c>
      <c r="D4" t="str">
        <f>IF(ISERROR(VLOOKUP($A4&amp;"-"&amp;D$1,Tabelle1!$H$2:$H$257,1,FALSE)),"","X")</f>
        <v/>
      </c>
      <c r="E4" t="str">
        <f>IF(ISERROR(VLOOKUP($A4&amp;"-"&amp;E$1,Tabelle1!$H$2:$H$257,1,FALSE)),"","X")</f>
        <v/>
      </c>
      <c r="F4" t="str">
        <f>IF(ISERROR(VLOOKUP($A4&amp;"-"&amp;F$1,Tabelle1!$H$2:$H$257,1,FALSE)),"","X")</f>
        <v/>
      </c>
      <c r="G4" t="str">
        <f>IF(ISERROR(VLOOKUP($A4&amp;"-"&amp;G$1,Tabelle1!$H$2:$H$257,1,FALSE)),"","X")</f>
        <v/>
      </c>
      <c r="H4" t="str">
        <f>IF(ISERROR(VLOOKUP($A4&amp;"-"&amp;H$1,Tabelle1!$H$2:$H$257,1,FALSE)),"","X")</f>
        <v/>
      </c>
      <c r="I4" t="str">
        <f>IF(ISERROR(VLOOKUP($A4&amp;"-"&amp;I$1,Tabelle1!$H$2:$H$257,1,FALSE)),"","X")</f>
        <v/>
      </c>
      <c r="J4" t="str">
        <f>IF(ISERROR(VLOOKUP($A4&amp;"-"&amp;J$1,Tabelle1!$H$2:$H$257,1,FALSE)),"","X")</f>
        <v/>
      </c>
      <c r="K4" t="str">
        <f>IF(ISERROR(VLOOKUP($A4&amp;"-"&amp;K$1,Tabelle1!$H$2:$H$257,1,FALSE)),"","X")</f>
        <v/>
      </c>
      <c r="L4" t="str">
        <f>IF(ISERROR(VLOOKUP($A4&amp;"-"&amp;L$1,Tabelle1!$H$2:$H$257,1,FALSE)),"","X")</f>
        <v/>
      </c>
      <c r="M4" t="str">
        <f>IF(ISERROR(VLOOKUP($A4&amp;"-"&amp;M$1,Tabelle1!$H$2:$H$257,1,FALSE)),"","X")</f>
        <v/>
      </c>
      <c r="N4" t="str">
        <f>IF(ISERROR(VLOOKUP($A4&amp;"-"&amp;N$1,Tabelle1!$H$2:$H$257,1,FALSE)),"","X")</f>
        <v/>
      </c>
      <c r="O4" t="str">
        <f>IF(ISERROR(VLOOKUP($A4&amp;"-"&amp;O$1,Tabelle1!$H$2:$H$257,1,FALSE)),"","X")</f>
        <v/>
      </c>
      <c r="P4" t="str">
        <f>IF(ISERROR(VLOOKUP($A4&amp;"-"&amp;P$1,Tabelle1!$H$2:$H$257,1,FALSE)),"","X")</f>
        <v/>
      </c>
    </row>
    <row r="5" spans="1:16" hidden="1">
      <c r="A5" s="1" t="s">
        <v>8</v>
      </c>
      <c r="B5" s="2" t="str">
        <f>VLOOKUP(A5,Tabelle1!$E$2:$G$257,3,FALSE)</f>
        <v>illegal</v>
      </c>
      <c r="C5" t="str">
        <f>IF(ISERROR(VLOOKUP($A5&amp;"-"&amp;C$1,Tabelle1!$H$2:$H$257,1,FALSE)),"","X")</f>
        <v/>
      </c>
      <c r="D5" t="str">
        <f>IF(ISERROR(VLOOKUP($A5&amp;"-"&amp;D$1,Tabelle1!$H$2:$H$257,1,FALSE)),"","X")</f>
        <v/>
      </c>
      <c r="E5" t="str">
        <f>IF(ISERROR(VLOOKUP($A5&amp;"-"&amp;E$1,Tabelle1!$H$2:$H$257,1,FALSE)),"","X")</f>
        <v>X</v>
      </c>
      <c r="F5" t="str">
        <f>IF(ISERROR(VLOOKUP($A5&amp;"-"&amp;F$1,Tabelle1!$H$2:$H$257,1,FALSE)),"","X")</f>
        <v/>
      </c>
      <c r="G5" t="str">
        <f>IF(ISERROR(VLOOKUP($A5&amp;"-"&amp;G$1,Tabelle1!$H$2:$H$257,1,FALSE)),"","X")</f>
        <v>X</v>
      </c>
      <c r="H5" t="str">
        <f>IF(ISERROR(VLOOKUP($A5&amp;"-"&amp;H$1,Tabelle1!$H$2:$H$257,1,FALSE)),"","X")</f>
        <v/>
      </c>
      <c r="I5" t="str">
        <f>IF(ISERROR(VLOOKUP($A5&amp;"-"&amp;I$1,Tabelle1!$H$2:$H$257,1,FALSE)),"","X")</f>
        <v/>
      </c>
      <c r="J5" t="str">
        <f>IF(ISERROR(VLOOKUP($A5&amp;"-"&amp;J$1,Tabelle1!$H$2:$H$257,1,FALSE)),"","X")</f>
        <v/>
      </c>
      <c r="K5" t="str">
        <f>IF(ISERROR(VLOOKUP($A5&amp;"-"&amp;K$1,Tabelle1!$H$2:$H$257,1,FALSE)),"","X")</f>
        <v/>
      </c>
      <c r="L5" t="str">
        <f>IF(ISERROR(VLOOKUP($A5&amp;"-"&amp;L$1,Tabelle1!$H$2:$H$257,1,FALSE)),"","X")</f>
        <v/>
      </c>
      <c r="M5" t="str">
        <f>IF(ISERROR(VLOOKUP($A5&amp;"-"&amp;M$1,Tabelle1!$H$2:$H$257,1,FALSE)),"","X")</f>
        <v/>
      </c>
      <c r="N5" t="str">
        <f>IF(ISERROR(VLOOKUP($A5&amp;"-"&amp;N$1,Tabelle1!$H$2:$H$257,1,FALSE)),"","X")</f>
        <v/>
      </c>
      <c r="O5" t="str">
        <f>IF(ISERROR(VLOOKUP($A5&amp;"-"&amp;O$1,Tabelle1!$H$2:$H$257,1,FALSE)),"","X")</f>
        <v/>
      </c>
      <c r="P5" t="str">
        <f>IF(ISERROR(VLOOKUP($A5&amp;"-"&amp;P$1,Tabelle1!$H$2:$H$257,1,FALSE)),"","X")</f>
        <v/>
      </c>
    </row>
    <row r="6" spans="1:16">
      <c r="A6" s="1" t="s">
        <v>10</v>
      </c>
      <c r="B6" s="2" t="str">
        <f>VLOOKUP(A6,Tabelle1!$E$2:$G$257,3,FALSE)</f>
        <v>regulär</v>
      </c>
      <c r="C6" t="str">
        <f>IF(ISERROR(VLOOKUP($A6&amp;"-"&amp;C$1,Tabelle1!$H$2:$H$257,1,FALSE)),"","X")</f>
        <v/>
      </c>
      <c r="D6" t="str">
        <f>IF(ISERROR(VLOOKUP($A6&amp;"-"&amp;D$1,Tabelle1!$H$2:$H$257,1,FALSE)),"","X")</f>
        <v/>
      </c>
      <c r="E6" t="str">
        <f>IF(ISERROR(VLOOKUP($A6&amp;"-"&amp;E$1,Tabelle1!$H$2:$H$257,1,FALSE)),"","X")</f>
        <v>X</v>
      </c>
      <c r="F6" t="str">
        <f>IF(ISERROR(VLOOKUP($A6&amp;"-"&amp;F$1,Tabelle1!$H$2:$H$257,1,FALSE)),"","X")</f>
        <v/>
      </c>
      <c r="G6" t="str">
        <f>IF(ISERROR(VLOOKUP($A6&amp;"-"&amp;G$1,Tabelle1!$H$2:$H$257,1,FALSE)),"","X")</f>
        <v>X</v>
      </c>
      <c r="H6" t="str">
        <f>IF(ISERROR(VLOOKUP($A6&amp;"-"&amp;H$1,Tabelle1!$H$2:$H$257,1,FALSE)),"","X")</f>
        <v/>
      </c>
      <c r="I6" t="str">
        <f>IF(ISERROR(VLOOKUP($A6&amp;"-"&amp;I$1,Tabelle1!$H$2:$H$257,1,FALSE)),"","X")</f>
        <v/>
      </c>
      <c r="J6" t="str">
        <f>IF(ISERROR(VLOOKUP($A6&amp;"-"&amp;J$1,Tabelle1!$H$2:$H$257,1,FALSE)),"","X")</f>
        <v/>
      </c>
      <c r="K6" t="str">
        <f>IF(ISERROR(VLOOKUP($A6&amp;"-"&amp;K$1,Tabelle1!$H$2:$H$257,1,FALSE)),"","X")</f>
        <v>X</v>
      </c>
      <c r="L6" t="str">
        <f>IF(ISERROR(VLOOKUP($A6&amp;"-"&amp;L$1,Tabelle1!$H$2:$H$257,1,FALSE)),"","X")</f>
        <v/>
      </c>
      <c r="M6" t="str">
        <f>IF(ISERROR(VLOOKUP($A6&amp;"-"&amp;M$1,Tabelle1!$H$2:$H$257,1,FALSE)),"","X")</f>
        <v>X</v>
      </c>
      <c r="N6" t="str">
        <f>IF(ISERROR(VLOOKUP($A6&amp;"-"&amp;N$1,Tabelle1!$H$2:$H$257,1,FALSE)),"","X")</f>
        <v/>
      </c>
      <c r="O6" t="str">
        <f>IF(ISERROR(VLOOKUP($A6&amp;"-"&amp;O$1,Tabelle1!$H$2:$H$257,1,FALSE)),"","X")</f>
        <v/>
      </c>
      <c r="P6" t="str">
        <f>IF(ISERROR(VLOOKUP($A6&amp;"-"&amp;P$1,Tabelle1!$H$2:$H$257,1,FALSE)),"","X")</f>
        <v/>
      </c>
    </row>
    <row r="7" spans="1:16">
      <c r="A7" s="1" t="s">
        <v>11</v>
      </c>
      <c r="B7" s="2" t="str">
        <f>VLOOKUP(A7,Tabelle1!$E$2:$G$257,3,FALSE)</f>
        <v>regulär</v>
      </c>
      <c r="C7" t="str">
        <f>IF(ISERROR(VLOOKUP($A7&amp;"-"&amp;C$1,Tabelle1!$H$2:$H$257,1,FALSE)),"","X")</f>
        <v>X</v>
      </c>
      <c r="D7" t="str">
        <f>IF(ISERROR(VLOOKUP($A7&amp;"-"&amp;D$1,Tabelle1!$H$2:$H$257,1,FALSE)),"","X")</f>
        <v/>
      </c>
      <c r="E7" t="str">
        <f>IF(ISERROR(VLOOKUP($A7&amp;"-"&amp;E$1,Tabelle1!$H$2:$H$257,1,FALSE)),"","X")</f>
        <v/>
      </c>
      <c r="F7" t="str">
        <f>IF(ISERROR(VLOOKUP($A7&amp;"-"&amp;F$1,Tabelle1!$H$2:$H$257,1,FALSE)),"","X")</f>
        <v/>
      </c>
      <c r="G7" t="str">
        <f>IF(ISERROR(VLOOKUP($A7&amp;"-"&amp;G$1,Tabelle1!$H$2:$H$257,1,FALSE)),"","X")</f>
        <v/>
      </c>
      <c r="H7" t="str">
        <f>IF(ISERROR(VLOOKUP($A7&amp;"-"&amp;H$1,Tabelle1!$H$2:$H$257,1,FALSE)),"","X")</f>
        <v/>
      </c>
      <c r="I7" t="str">
        <f>IF(ISERROR(VLOOKUP($A7&amp;"-"&amp;I$1,Tabelle1!$H$2:$H$257,1,FALSE)),"","X")</f>
        <v/>
      </c>
      <c r="J7" t="str">
        <f>IF(ISERROR(VLOOKUP($A7&amp;"-"&amp;J$1,Tabelle1!$H$2:$H$257,1,FALSE)),"","X")</f>
        <v/>
      </c>
      <c r="K7" t="str">
        <f>IF(ISERROR(VLOOKUP($A7&amp;"-"&amp;K$1,Tabelle1!$H$2:$H$257,1,FALSE)),"","X")</f>
        <v/>
      </c>
      <c r="L7" t="str">
        <f>IF(ISERROR(VLOOKUP($A7&amp;"-"&amp;L$1,Tabelle1!$H$2:$H$257,1,FALSE)),"","X")</f>
        <v/>
      </c>
      <c r="M7" t="str">
        <f>IF(ISERROR(VLOOKUP($A7&amp;"-"&amp;M$1,Tabelle1!$H$2:$H$257,1,FALSE)),"","X")</f>
        <v/>
      </c>
      <c r="N7" t="str">
        <f>IF(ISERROR(VLOOKUP($A7&amp;"-"&amp;N$1,Tabelle1!$H$2:$H$257,1,FALSE)),"","X")</f>
        <v/>
      </c>
      <c r="O7" t="str">
        <f>IF(ISERROR(VLOOKUP($A7&amp;"-"&amp;O$1,Tabelle1!$H$2:$H$257,1,FALSE)),"","X")</f>
        <v/>
      </c>
      <c r="P7" t="str">
        <f>IF(ISERROR(VLOOKUP($A7&amp;"-"&amp;P$1,Tabelle1!$H$2:$H$257,1,FALSE)),"","X")</f>
        <v/>
      </c>
    </row>
    <row r="8" spans="1:16" hidden="1">
      <c r="A8" s="1" t="s">
        <v>13</v>
      </c>
      <c r="B8" s="2" t="str">
        <f>VLOOKUP(A8,Tabelle1!$E$2:$G$257,3,FALSE)</f>
        <v>illegal</v>
      </c>
      <c r="C8" t="str">
        <f>IF(ISERROR(VLOOKUP($A8&amp;"-"&amp;C$1,Tabelle1!$H$2:$H$257,1,FALSE)),"","X")</f>
        <v>X</v>
      </c>
      <c r="D8" t="str">
        <f>IF(ISERROR(VLOOKUP($A8&amp;"-"&amp;D$1,Tabelle1!$H$2:$H$257,1,FALSE)),"","X")</f>
        <v/>
      </c>
      <c r="E8" t="str">
        <f>IF(ISERROR(VLOOKUP($A8&amp;"-"&amp;E$1,Tabelle1!$H$2:$H$257,1,FALSE)),"","X")</f>
        <v/>
      </c>
      <c r="F8" t="str">
        <f>IF(ISERROR(VLOOKUP($A8&amp;"-"&amp;F$1,Tabelle1!$H$2:$H$257,1,FALSE)),"","X")</f>
        <v/>
      </c>
      <c r="G8" t="str">
        <f>IF(ISERROR(VLOOKUP($A8&amp;"-"&amp;G$1,Tabelle1!$H$2:$H$257,1,FALSE)),"","X")</f>
        <v/>
      </c>
      <c r="H8" t="str">
        <f>IF(ISERROR(VLOOKUP($A8&amp;"-"&amp;H$1,Tabelle1!$H$2:$H$257,1,FALSE)),"","X")</f>
        <v/>
      </c>
      <c r="I8" t="str">
        <f>IF(ISERROR(VLOOKUP($A8&amp;"-"&amp;I$1,Tabelle1!$H$2:$H$257,1,FALSE)),"","X")</f>
        <v/>
      </c>
      <c r="J8" t="str">
        <f>IF(ISERROR(VLOOKUP($A8&amp;"-"&amp;J$1,Tabelle1!$H$2:$H$257,1,FALSE)),"","X")</f>
        <v/>
      </c>
      <c r="K8" t="str">
        <f>IF(ISERROR(VLOOKUP($A8&amp;"-"&amp;K$1,Tabelle1!$H$2:$H$257,1,FALSE)),"","X")</f>
        <v/>
      </c>
      <c r="L8" t="str">
        <f>IF(ISERROR(VLOOKUP($A8&amp;"-"&amp;L$1,Tabelle1!$H$2:$H$257,1,FALSE)),"","X")</f>
        <v/>
      </c>
      <c r="M8" t="str">
        <f>IF(ISERROR(VLOOKUP($A8&amp;"-"&amp;M$1,Tabelle1!$H$2:$H$257,1,FALSE)),"","X")</f>
        <v/>
      </c>
      <c r="N8" t="str">
        <f>IF(ISERROR(VLOOKUP($A8&amp;"-"&amp;N$1,Tabelle1!$H$2:$H$257,1,FALSE)),"","X")</f>
        <v/>
      </c>
      <c r="O8" t="str">
        <f>IF(ISERROR(VLOOKUP($A8&amp;"-"&amp;O$1,Tabelle1!$H$2:$H$257,1,FALSE)),"","X")</f>
        <v/>
      </c>
      <c r="P8" t="str">
        <f>IF(ISERROR(VLOOKUP($A8&amp;"-"&amp;P$1,Tabelle1!$H$2:$H$257,1,FALSE)),"","X")</f>
        <v/>
      </c>
    </row>
    <row r="9" spans="1:16">
      <c r="A9" s="1" t="s">
        <v>15</v>
      </c>
      <c r="B9" s="2" t="str">
        <f>VLOOKUP(A9,Tabelle1!$E$2:$G$257,3,FALSE)</f>
        <v>regulär</v>
      </c>
      <c r="C9" t="str">
        <f>IF(ISERROR(VLOOKUP($A9&amp;"-"&amp;C$1,Tabelle1!$H$2:$H$257,1,FALSE)),"","X")</f>
        <v/>
      </c>
      <c r="D9" t="str">
        <f>IF(ISERROR(VLOOKUP($A9&amp;"-"&amp;D$1,Tabelle1!$H$2:$H$257,1,FALSE)),"","X")</f>
        <v/>
      </c>
      <c r="E9" t="str">
        <f>IF(ISERROR(VLOOKUP($A9&amp;"-"&amp;E$1,Tabelle1!$H$2:$H$257,1,FALSE)),"","X")</f>
        <v/>
      </c>
      <c r="F9" t="str">
        <f>IF(ISERROR(VLOOKUP($A9&amp;"-"&amp;F$1,Tabelle1!$H$2:$H$257,1,FALSE)),"","X")</f>
        <v/>
      </c>
      <c r="G9" t="str">
        <f>IF(ISERROR(VLOOKUP($A9&amp;"-"&amp;G$1,Tabelle1!$H$2:$H$257,1,FALSE)),"","X")</f>
        <v/>
      </c>
      <c r="H9" t="str">
        <f>IF(ISERROR(VLOOKUP($A9&amp;"-"&amp;H$1,Tabelle1!$H$2:$H$257,1,FALSE)),"","X")</f>
        <v>X</v>
      </c>
      <c r="I9" t="str">
        <f>IF(ISERROR(VLOOKUP($A9&amp;"-"&amp;I$1,Tabelle1!$H$2:$H$257,1,FALSE)),"","X")</f>
        <v/>
      </c>
      <c r="J9" t="str">
        <f>IF(ISERROR(VLOOKUP($A9&amp;"-"&amp;J$1,Tabelle1!$H$2:$H$257,1,FALSE)),"","X")</f>
        <v/>
      </c>
      <c r="K9" t="str">
        <f>IF(ISERROR(VLOOKUP($A9&amp;"-"&amp;K$1,Tabelle1!$H$2:$H$257,1,FALSE)),"","X")</f>
        <v/>
      </c>
      <c r="L9" t="str">
        <f>IF(ISERROR(VLOOKUP($A9&amp;"-"&amp;L$1,Tabelle1!$H$2:$H$257,1,FALSE)),"","X")</f>
        <v/>
      </c>
      <c r="M9" t="str">
        <f>IF(ISERROR(VLOOKUP($A9&amp;"-"&amp;M$1,Tabelle1!$H$2:$H$257,1,FALSE)),"","X")</f>
        <v/>
      </c>
      <c r="N9" t="str">
        <f>IF(ISERROR(VLOOKUP($A9&amp;"-"&amp;N$1,Tabelle1!$H$2:$H$257,1,FALSE)),"","X")</f>
        <v/>
      </c>
      <c r="O9" t="str">
        <f>IF(ISERROR(VLOOKUP($A9&amp;"-"&amp;O$1,Tabelle1!$H$2:$H$257,1,FALSE)),"","X")</f>
        <v/>
      </c>
      <c r="P9" t="str">
        <f>IF(ISERROR(VLOOKUP($A9&amp;"-"&amp;P$1,Tabelle1!$H$2:$H$257,1,FALSE)),"","X")</f>
        <v/>
      </c>
    </row>
    <row r="10" spans="1:16" hidden="1">
      <c r="A10" s="1" t="s">
        <v>19</v>
      </c>
      <c r="B10" s="2" t="str">
        <f>VLOOKUP(A10,Tabelle1!$E$2:$G$257,3,FALSE)</f>
        <v>illegal</v>
      </c>
      <c r="C10" t="str">
        <f>IF(ISERROR(VLOOKUP($A10&amp;"-"&amp;C$1,Tabelle1!$H$2:$H$257,1,FALSE)),"","X")</f>
        <v/>
      </c>
      <c r="D10" t="str">
        <f>IF(ISERROR(VLOOKUP($A10&amp;"-"&amp;D$1,Tabelle1!$H$2:$H$257,1,FALSE)),"","X")</f>
        <v/>
      </c>
      <c r="E10" t="str">
        <f>IF(ISERROR(VLOOKUP($A10&amp;"-"&amp;E$1,Tabelle1!$H$2:$H$257,1,FALSE)),"","X")</f>
        <v>X</v>
      </c>
      <c r="F10" t="str">
        <f>IF(ISERROR(VLOOKUP($A10&amp;"-"&amp;F$1,Tabelle1!$H$2:$H$257,1,FALSE)),"","X")</f>
        <v/>
      </c>
      <c r="G10" t="str">
        <f>IF(ISERROR(VLOOKUP($A10&amp;"-"&amp;G$1,Tabelle1!$H$2:$H$257,1,FALSE)),"","X")</f>
        <v>X</v>
      </c>
      <c r="H10" t="str">
        <f>IF(ISERROR(VLOOKUP($A10&amp;"-"&amp;H$1,Tabelle1!$H$2:$H$257,1,FALSE)),"","X")</f>
        <v/>
      </c>
      <c r="I10" t="str">
        <f>IF(ISERROR(VLOOKUP($A10&amp;"-"&amp;I$1,Tabelle1!$H$2:$H$257,1,FALSE)),"","X")</f>
        <v/>
      </c>
      <c r="J10" t="str">
        <f>IF(ISERROR(VLOOKUP($A10&amp;"-"&amp;J$1,Tabelle1!$H$2:$H$257,1,FALSE)),"","X")</f>
        <v/>
      </c>
      <c r="K10" t="str">
        <f>IF(ISERROR(VLOOKUP($A10&amp;"-"&amp;K$1,Tabelle1!$H$2:$H$257,1,FALSE)),"","X")</f>
        <v/>
      </c>
      <c r="L10" t="str">
        <f>IF(ISERROR(VLOOKUP($A10&amp;"-"&amp;L$1,Tabelle1!$H$2:$H$257,1,FALSE)),"","X")</f>
        <v/>
      </c>
      <c r="M10" t="str">
        <f>IF(ISERROR(VLOOKUP($A10&amp;"-"&amp;M$1,Tabelle1!$H$2:$H$257,1,FALSE)),"","X")</f>
        <v/>
      </c>
      <c r="N10" t="str">
        <f>IF(ISERROR(VLOOKUP($A10&amp;"-"&amp;N$1,Tabelle1!$H$2:$H$257,1,FALSE)),"","X")</f>
        <v/>
      </c>
      <c r="O10" t="str">
        <f>IF(ISERROR(VLOOKUP($A10&amp;"-"&amp;O$1,Tabelle1!$H$2:$H$257,1,FALSE)),"","X")</f>
        <v/>
      </c>
      <c r="P10" t="str">
        <f>IF(ISERROR(VLOOKUP($A10&amp;"-"&amp;P$1,Tabelle1!$H$2:$H$257,1,FALSE)),"","X")</f>
        <v/>
      </c>
    </row>
    <row r="11" spans="1:16">
      <c r="A11" s="1" t="s">
        <v>21</v>
      </c>
      <c r="B11" s="2" t="str">
        <f>VLOOKUP(A11,Tabelle1!$E$2:$G$257,3,FALSE)</f>
        <v>regulär</v>
      </c>
      <c r="C11" t="str">
        <f>IF(ISERROR(VLOOKUP($A11&amp;"-"&amp;C$1,Tabelle1!$H$2:$H$257,1,FALSE)),"","X")</f>
        <v>X</v>
      </c>
      <c r="D11" t="str">
        <f>IF(ISERROR(VLOOKUP($A11&amp;"-"&amp;D$1,Tabelle1!$H$2:$H$257,1,FALSE)),"","X")</f>
        <v/>
      </c>
      <c r="E11" t="str">
        <f>IF(ISERROR(VLOOKUP($A11&amp;"-"&amp;E$1,Tabelle1!$H$2:$H$257,1,FALSE)),"","X")</f>
        <v/>
      </c>
      <c r="F11" t="str">
        <f>IF(ISERROR(VLOOKUP($A11&amp;"-"&amp;F$1,Tabelle1!$H$2:$H$257,1,FALSE)),"","X")</f>
        <v/>
      </c>
      <c r="G11" t="str">
        <f>IF(ISERROR(VLOOKUP($A11&amp;"-"&amp;G$1,Tabelle1!$H$2:$H$257,1,FALSE)),"","X")</f>
        <v/>
      </c>
      <c r="H11" t="str">
        <f>IF(ISERROR(VLOOKUP($A11&amp;"-"&amp;H$1,Tabelle1!$H$2:$H$257,1,FALSE)),"","X")</f>
        <v/>
      </c>
      <c r="I11" t="str">
        <f>IF(ISERROR(VLOOKUP($A11&amp;"-"&amp;I$1,Tabelle1!$H$2:$H$257,1,FALSE)),"","X")</f>
        <v/>
      </c>
      <c r="J11" t="str">
        <f>IF(ISERROR(VLOOKUP($A11&amp;"-"&amp;J$1,Tabelle1!$H$2:$H$257,1,FALSE)),"","X")</f>
        <v/>
      </c>
      <c r="K11" t="str">
        <f>IF(ISERROR(VLOOKUP($A11&amp;"-"&amp;K$1,Tabelle1!$H$2:$H$257,1,FALSE)),"","X")</f>
        <v/>
      </c>
      <c r="L11" t="str">
        <f>IF(ISERROR(VLOOKUP($A11&amp;"-"&amp;L$1,Tabelle1!$H$2:$H$257,1,FALSE)),"","X")</f>
        <v/>
      </c>
      <c r="M11" t="str">
        <f>IF(ISERROR(VLOOKUP($A11&amp;"-"&amp;M$1,Tabelle1!$H$2:$H$257,1,FALSE)),"","X")</f>
        <v/>
      </c>
      <c r="N11" t="str">
        <f>IF(ISERROR(VLOOKUP($A11&amp;"-"&amp;N$1,Tabelle1!$H$2:$H$257,1,FALSE)),"","X")</f>
        <v/>
      </c>
      <c r="O11" t="str">
        <f>IF(ISERROR(VLOOKUP($A11&amp;"-"&amp;O$1,Tabelle1!$H$2:$H$257,1,FALSE)),"","X")</f>
        <v/>
      </c>
      <c r="P11" t="str">
        <f>IF(ISERROR(VLOOKUP($A11&amp;"-"&amp;P$1,Tabelle1!$H$2:$H$257,1,FALSE)),"","X")</f>
        <v/>
      </c>
    </row>
    <row r="12" spans="1:16" hidden="1">
      <c r="A12" s="1" t="s">
        <v>23</v>
      </c>
      <c r="B12" s="2" t="str">
        <f>VLOOKUP(A12,Tabelle1!$E$2:$G$257,3,FALSE)</f>
        <v>illegal</v>
      </c>
      <c r="C12" t="str">
        <f>IF(ISERROR(VLOOKUP($A12&amp;"-"&amp;C$1,Tabelle1!$H$2:$H$257,1,FALSE)),"","X")</f>
        <v>X</v>
      </c>
      <c r="D12" t="str">
        <f>IF(ISERROR(VLOOKUP($A12&amp;"-"&amp;D$1,Tabelle1!$H$2:$H$257,1,FALSE)),"","X")</f>
        <v/>
      </c>
      <c r="E12" t="str">
        <f>IF(ISERROR(VLOOKUP($A12&amp;"-"&amp;E$1,Tabelle1!$H$2:$H$257,1,FALSE)),"","X")</f>
        <v/>
      </c>
      <c r="F12" t="str">
        <f>IF(ISERROR(VLOOKUP($A12&amp;"-"&amp;F$1,Tabelle1!$H$2:$H$257,1,FALSE)),"","X")</f>
        <v/>
      </c>
      <c r="G12" t="str">
        <f>IF(ISERROR(VLOOKUP($A12&amp;"-"&amp;G$1,Tabelle1!$H$2:$H$257,1,FALSE)),"","X")</f>
        <v/>
      </c>
      <c r="H12" t="str">
        <f>IF(ISERROR(VLOOKUP($A12&amp;"-"&amp;H$1,Tabelle1!$H$2:$H$257,1,FALSE)),"","X")</f>
        <v/>
      </c>
      <c r="I12" t="str">
        <f>IF(ISERROR(VLOOKUP($A12&amp;"-"&amp;I$1,Tabelle1!$H$2:$H$257,1,FALSE)),"","X")</f>
        <v/>
      </c>
      <c r="J12" t="str">
        <f>IF(ISERROR(VLOOKUP($A12&amp;"-"&amp;J$1,Tabelle1!$H$2:$H$257,1,FALSE)),"","X")</f>
        <v/>
      </c>
      <c r="K12" t="str">
        <f>IF(ISERROR(VLOOKUP($A12&amp;"-"&amp;K$1,Tabelle1!$H$2:$H$257,1,FALSE)),"","X")</f>
        <v/>
      </c>
      <c r="L12" t="str">
        <f>IF(ISERROR(VLOOKUP($A12&amp;"-"&amp;L$1,Tabelle1!$H$2:$H$257,1,FALSE)),"","X")</f>
        <v/>
      </c>
      <c r="M12" t="str">
        <f>IF(ISERROR(VLOOKUP($A12&amp;"-"&amp;M$1,Tabelle1!$H$2:$H$257,1,FALSE)),"","X")</f>
        <v/>
      </c>
      <c r="N12" t="str">
        <f>IF(ISERROR(VLOOKUP($A12&amp;"-"&amp;N$1,Tabelle1!$H$2:$H$257,1,FALSE)),"","X")</f>
        <v/>
      </c>
      <c r="O12" t="str">
        <f>IF(ISERROR(VLOOKUP($A12&amp;"-"&amp;O$1,Tabelle1!$H$2:$H$257,1,FALSE)),"","X")</f>
        <v/>
      </c>
      <c r="P12" t="str">
        <f>IF(ISERROR(VLOOKUP($A12&amp;"-"&amp;P$1,Tabelle1!$H$2:$H$257,1,FALSE)),"","X")</f>
        <v/>
      </c>
    </row>
    <row r="13" spans="1:16">
      <c r="A13" s="1" t="s">
        <v>25</v>
      </c>
      <c r="B13" s="2" t="str">
        <f>VLOOKUP(A13,Tabelle1!$E$2:$G$257,3,FALSE)</f>
        <v>regulär</v>
      </c>
      <c r="C13" t="str">
        <f>IF(ISERROR(VLOOKUP($A13&amp;"-"&amp;C$1,Tabelle1!$H$2:$H$257,1,FALSE)),"","X")</f>
        <v/>
      </c>
      <c r="D13" t="str">
        <f>IF(ISERROR(VLOOKUP($A13&amp;"-"&amp;D$1,Tabelle1!$H$2:$H$257,1,FALSE)),"","X")</f>
        <v/>
      </c>
      <c r="E13" t="str">
        <f>IF(ISERROR(VLOOKUP($A13&amp;"-"&amp;E$1,Tabelle1!$H$2:$H$257,1,FALSE)),"","X")</f>
        <v/>
      </c>
      <c r="F13" t="str">
        <f>IF(ISERROR(VLOOKUP($A13&amp;"-"&amp;F$1,Tabelle1!$H$2:$H$257,1,FALSE)),"","X")</f>
        <v/>
      </c>
      <c r="G13" t="str">
        <f>IF(ISERROR(VLOOKUP($A13&amp;"-"&amp;G$1,Tabelle1!$H$2:$H$257,1,FALSE)),"","X")</f>
        <v>X</v>
      </c>
      <c r="H13" t="str">
        <f>IF(ISERROR(VLOOKUP($A13&amp;"-"&amp;H$1,Tabelle1!$H$2:$H$257,1,FALSE)),"","X")</f>
        <v/>
      </c>
      <c r="I13" t="str">
        <f>IF(ISERROR(VLOOKUP($A13&amp;"-"&amp;I$1,Tabelle1!$H$2:$H$257,1,FALSE)),"","X")</f>
        <v/>
      </c>
      <c r="J13" t="str">
        <f>IF(ISERROR(VLOOKUP($A13&amp;"-"&amp;J$1,Tabelle1!$H$2:$H$257,1,FALSE)),"","X")</f>
        <v/>
      </c>
      <c r="K13" t="str">
        <f>IF(ISERROR(VLOOKUP($A13&amp;"-"&amp;K$1,Tabelle1!$H$2:$H$257,1,FALSE)),"","X")</f>
        <v/>
      </c>
      <c r="L13" t="str">
        <f>IF(ISERROR(VLOOKUP($A13&amp;"-"&amp;L$1,Tabelle1!$H$2:$H$257,1,FALSE)),"","X")</f>
        <v/>
      </c>
      <c r="M13" t="str">
        <f>IF(ISERROR(VLOOKUP($A13&amp;"-"&amp;M$1,Tabelle1!$H$2:$H$257,1,FALSE)),"","X")</f>
        <v/>
      </c>
      <c r="N13" t="str">
        <f>IF(ISERROR(VLOOKUP($A13&amp;"-"&amp;N$1,Tabelle1!$H$2:$H$257,1,FALSE)),"","X")</f>
        <v/>
      </c>
      <c r="O13" t="str">
        <f>IF(ISERROR(VLOOKUP($A13&amp;"-"&amp;O$1,Tabelle1!$H$2:$H$257,1,FALSE)),"","X")</f>
        <v/>
      </c>
      <c r="P13" t="str">
        <f>IF(ISERROR(VLOOKUP($A13&amp;"-"&amp;P$1,Tabelle1!$H$2:$H$257,1,FALSE)),"","X")</f>
        <v/>
      </c>
    </row>
    <row r="14" spans="1:16">
      <c r="A14" s="1" t="s">
        <v>26</v>
      </c>
      <c r="B14" s="2" t="str">
        <f>VLOOKUP(A14,Tabelle1!$E$2:$G$257,3,FALSE)</f>
        <v>regulär</v>
      </c>
      <c r="C14" t="str">
        <f>IF(ISERROR(VLOOKUP($A14&amp;"-"&amp;C$1,Tabelle1!$H$2:$H$257,1,FALSE)),"","X")</f>
        <v/>
      </c>
      <c r="D14" t="str">
        <f>IF(ISERROR(VLOOKUP($A14&amp;"-"&amp;D$1,Tabelle1!$H$2:$H$257,1,FALSE)),"","X")</f>
        <v>X</v>
      </c>
      <c r="E14" t="str">
        <f>IF(ISERROR(VLOOKUP($A14&amp;"-"&amp;E$1,Tabelle1!$H$2:$H$257,1,FALSE)),"","X")</f>
        <v>X</v>
      </c>
      <c r="F14" t="str">
        <f>IF(ISERROR(VLOOKUP($A14&amp;"-"&amp;F$1,Tabelle1!$H$2:$H$257,1,FALSE)),"","X")</f>
        <v>X</v>
      </c>
      <c r="G14" t="str">
        <f>IF(ISERROR(VLOOKUP($A14&amp;"-"&amp;G$1,Tabelle1!$H$2:$H$257,1,FALSE)),"","X")</f>
        <v>X</v>
      </c>
      <c r="H14" t="str">
        <f>IF(ISERROR(VLOOKUP($A14&amp;"-"&amp;H$1,Tabelle1!$H$2:$H$257,1,FALSE)),"","X")</f>
        <v/>
      </c>
      <c r="I14" t="str">
        <f>IF(ISERROR(VLOOKUP($A14&amp;"-"&amp;I$1,Tabelle1!$H$2:$H$257,1,FALSE)),"","X")</f>
        <v>X</v>
      </c>
      <c r="J14" t="str">
        <f>IF(ISERROR(VLOOKUP($A14&amp;"-"&amp;J$1,Tabelle1!$H$2:$H$257,1,FALSE)),"","X")</f>
        <v>X</v>
      </c>
      <c r="K14" t="str">
        <f>IF(ISERROR(VLOOKUP($A14&amp;"-"&amp;K$1,Tabelle1!$H$2:$H$257,1,FALSE)),"","X")</f>
        <v>X</v>
      </c>
      <c r="L14" t="str">
        <f>IF(ISERROR(VLOOKUP($A14&amp;"-"&amp;L$1,Tabelle1!$H$2:$H$257,1,FALSE)),"","X")</f>
        <v>X</v>
      </c>
      <c r="M14" t="str">
        <f>IF(ISERROR(VLOOKUP($A14&amp;"-"&amp;M$1,Tabelle1!$H$2:$H$257,1,FALSE)),"","X")</f>
        <v>X</v>
      </c>
      <c r="N14" t="str">
        <f>IF(ISERROR(VLOOKUP($A14&amp;"-"&amp;N$1,Tabelle1!$H$2:$H$257,1,FALSE)),"","X")</f>
        <v/>
      </c>
      <c r="O14" t="str">
        <f>IF(ISERROR(VLOOKUP($A14&amp;"-"&amp;O$1,Tabelle1!$H$2:$H$257,1,FALSE)),"","X")</f>
        <v/>
      </c>
      <c r="P14" t="str">
        <f>IF(ISERROR(VLOOKUP($A14&amp;"-"&amp;P$1,Tabelle1!$H$2:$H$257,1,FALSE)),"","X")</f>
        <v/>
      </c>
    </row>
    <row r="15" spans="1:16">
      <c r="A15" s="1" t="s">
        <v>27</v>
      </c>
      <c r="B15" s="2" t="str">
        <f>VLOOKUP(A15,Tabelle1!$E$2:$G$257,3,FALSE)</f>
        <v>regulär</v>
      </c>
      <c r="C15" t="str">
        <f>IF(ISERROR(VLOOKUP($A15&amp;"-"&amp;C$1,Tabelle1!$H$2:$H$257,1,FALSE)),"","X")</f>
        <v/>
      </c>
      <c r="D15" t="str">
        <f>IF(ISERROR(VLOOKUP($A15&amp;"-"&amp;D$1,Tabelle1!$H$2:$H$257,1,FALSE)),"","X")</f>
        <v/>
      </c>
      <c r="E15" t="str">
        <f>IF(ISERROR(VLOOKUP($A15&amp;"-"&amp;E$1,Tabelle1!$H$2:$H$257,1,FALSE)),"","X")</f>
        <v>X</v>
      </c>
      <c r="F15" t="str">
        <f>IF(ISERROR(VLOOKUP($A15&amp;"-"&amp;F$1,Tabelle1!$H$2:$H$257,1,FALSE)),"","X")</f>
        <v>X</v>
      </c>
      <c r="G15" t="str">
        <f>IF(ISERROR(VLOOKUP($A15&amp;"-"&amp;G$1,Tabelle1!$H$2:$H$257,1,FALSE)),"","X")</f>
        <v>X</v>
      </c>
      <c r="H15" t="str">
        <f>IF(ISERROR(VLOOKUP($A15&amp;"-"&amp;H$1,Tabelle1!$H$2:$H$257,1,FALSE)),"","X")</f>
        <v/>
      </c>
      <c r="I15" t="str">
        <f>IF(ISERROR(VLOOKUP($A15&amp;"-"&amp;I$1,Tabelle1!$H$2:$H$257,1,FALSE)),"","X")</f>
        <v/>
      </c>
      <c r="J15" t="str">
        <f>IF(ISERROR(VLOOKUP($A15&amp;"-"&amp;J$1,Tabelle1!$H$2:$H$257,1,FALSE)),"","X")</f>
        <v/>
      </c>
      <c r="K15" t="str">
        <f>IF(ISERROR(VLOOKUP($A15&amp;"-"&amp;K$1,Tabelle1!$H$2:$H$257,1,FALSE)),"","X")</f>
        <v>X</v>
      </c>
      <c r="L15" t="str">
        <f>IF(ISERROR(VLOOKUP($A15&amp;"-"&amp;L$1,Tabelle1!$H$2:$H$257,1,FALSE)),"","X")</f>
        <v/>
      </c>
      <c r="M15" t="str">
        <f>IF(ISERROR(VLOOKUP($A15&amp;"-"&amp;M$1,Tabelle1!$H$2:$H$257,1,FALSE)),"","X")</f>
        <v>X</v>
      </c>
      <c r="N15" t="str">
        <f>IF(ISERROR(VLOOKUP($A15&amp;"-"&amp;N$1,Tabelle1!$H$2:$H$257,1,FALSE)),"","X")</f>
        <v/>
      </c>
      <c r="O15" t="str">
        <f>IF(ISERROR(VLOOKUP($A15&amp;"-"&amp;O$1,Tabelle1!$H$2:$H$257,1,FALSE)),"","X")</f>
        <v/>
      </c>
      <c r="P15" t="str">
        <f>IF(ISERROR(VLOOKUP($A15&amp;"-"&amp;P$1,Tabelle1!$H$2:$H$257,1,FALSE)),"","X")</f>
        <v/>
      </c>
    </row>
    <row r="16" spans="1:16">
      <c r="A16" s="1" t="s">
        <v>28</v>
      </c>
      <c r="B16" s="2" t="str">
        <f>VLOOKUP(A16,Tabelle1!$E$2:$G$257,3,FALSE)</f>
        <v>regulär</v>
      </c>
      <c r="C16" t="str">
        <f>IF(ISERROR(VLOOKUP($A16&amp;"-"&amp;C$1,Tabelle1!$H$2:$H$257,1,FALSE)),"","X")</f>
        <v/>
      </c>
      <c r="D16" t="str">
        <f>IF(ISERROR(VLOOKUP($A16&amp;"-"&amp;D$1,Tabelle1!$H$2:$H$257,1,FALSE)),"","X")</f>
        <v/>
      </c>
      <c r="E16" t="str">
        <f>IF(ISERROR(VLOOKUP($A16&amp;"-"&amp;E$1,Tabelle1!$H$2:$H$257,1,FALSE)),"","X")</f>
        <v>X</v>
      </c>
      <c r="F16" t="str">
        <f>IF(ISERROR(VLOOKUP($A16&amp;"-"&amp;F$1,Tabelle1!$H$2:$H$257,1,FALSE)),"","X")</f>
        <v/>
      </c>
      <c r="G16" t="str">
        <f>IF(ISERROR(VLOOKUP($A16&amp;"-"&amp;G$1,Tabelle1!$H$2:$H$257,1,FALSE)),"","X")</f>
        <v>X</v>
      </c>
      <c r="H16" t="str">
        <f>IF(ISERROR(VLOOKUP($A16&amp;"-"&amp;H$1,Tabelle1!$H$2:$H$257,1,FALSE)),"","X")</f>
        <v/>
      </c>
      <c r="I16" t="str">
        <f>IF(ISERROR(VLOOKUP($A16&amp;"-"&amp;I$1,Tabelle1!$H$2:$H$257,1,FALSE)),"","X")</f>
        <v/>
      </c>
      <c r="J16" t="str">
        <f>IF(ISERROR(VLOOKUP($A16&amp;"-"&amp;J$1,Tabelle1!$H$2:$H$257,1,FALSE)),"","X")</f>
        <v/>
      </c>
      <c r="K16" t="str">
        <f>IF(ISERROR(VLOOKUP($A16&amp;"-"&amp;K$1,Tabelle1!$H$2:$H$257,1,FALSE)),"","X")</f>
        <v>X</v>
      </c>
      <c r="L16" t="str">
        <f>IF(ISERROR(VLOOKUP($A16&amp;"-"&amp;L$1,Tabelle1!$H$2:$H$257,1,FALSE)),"","X")</f>
        <v/>
      </c>
      <c r="M16" t="str">
        <f>IF(ISERROR(VLOOKUP($A16&amp;"-"&amp;M$1,Tabelle1!$H$2:$H$257,1,FALSE)),"","X")</f>
        <v>X</v>
      </c>
      <c r="N16" t="str">
        <f>IF(ISERROR(VLOOKUP($A16&amp;"-"&amp;N$1,Tabelle1!$H$2:$H$257,1,FALSE)),"","X")</f>
        <v/>
      </c>
      <c r="O16" t="str">
        <f>IF(ISERROR(VLOOKUP($A16&amp;"-"&amp;O$1,Tabelle1!$H$2:$H$257,1,FALSE)),"","X")</f>
        <v/>
      </c>
      <c r="P16" t="str">
        <f>IF(ISERROR(VLOOKUP($A16&amp;"-"&amp;P$1,Tabelle1!$H$2:$H$257,1,FALSE)),"","X")</f>
        <v/>
      </c>
    </row>
    <row r="17" spans="1:16">
      <c r="A17" s="1" t="s">
        <v>29</v>
      </c>
      <c r="B17" s="2" t="str">
        <f>VLOOKUP(A17,Tabelle1!$E$2:$G$257,3,FALSE)</f>
        <v>regulär</v>
      </c>
      <c r="C17" t="str">
        <f>IF(ISERROR(VLOOKUP($A17&amp;"-"&amp;C$1,Tabelle1!$H$2:$H$257,1,FALSE)),"","X")</f>
        <v>X</v>
      </c>
      <c r="D17" t="str">
        <f>IF(ISERROR(VLOOKUP($A17&amp;"-"&amp;D$1,Tabelle1!$H$2:$H$257,1,FALSE)),"","X")</f>
        <v/>
      </c>
      <c r="E17" t="str">
        <f>IF(ISERROR(VLOOKUP($A17&amp;"-"&amp;E$1,Tabelle1!$H$2:$H$257,1,FALSE)),"","X")</f>
        <v/>
      </c>
      <c r="F17" t="str">
        <f>IF(ISERROR(VLOOKUP($A17&amp;"-"&amp;F$1,Tabelle1!$H$2:$H$257,1,FALSE)),"","X")</f>
        <v/>
      </c>
      <c r="G17" t="str">
        <f>IF(ISERROR(VLOOKUP($A17&amp;"-"&amp;G$1,Tabelle1!$H$2:$H$257,1,FALSE)),"","X")</f>
        <v/>
      </c>
      <c r="H17" t="str">
        <f>IF(ISERROR(VLOOKUP($A17&amp;"-"&amp;H$1,Tabelle1!$H$2:$H$257,1,FALSE)),"","X")</f>
        <v/>
      </c>
      <c r="I17" t="str">
        <f>IF(ISERROR(VLOOKUP($A17&amp;"-"&amp;I$1,Tabelle1!$H$2:$H$257,1,FALSE)),"","X")</f>
        <v/>
      </c>
      <c r="J17" t="str">
        <f>IF(ISERROR(VLOOKUP($A17&amp;"-"&amp;J$1,Tabelle1!$H$2:$H$257,1,FALSE)),"","X")</f>
        <v/>
      </c>
      <c r="K17" t="str">
        <f>IF(ISERROR(VLOOKUP($A17&amp;"-"&amp;K$1,Tabelle1!$H$2:$H$257,1,FALSE)),"","X")</f>
        <v/>
      </c>
      <c r="L17" t="str">
        <f>IF(ISERROR(VLOOKUP($A17&amp;"-"&amp;L$1,Tabelle1!$H$2:$H$257,1,FALSE)),"","X")</f>
        <v/>
      </c>
      <c r="M17" t="str">
        <f>IF(ISERROR(VLOOKUP($A17&amp;"-"&amp;M$1,Tabelle1!$H$2:$H$257,1,FALSE)),"","X")</f>
        <v/>
      </c>
      <c r="N17" t="str">
        <f>IF(ISERROR(VLOOKUP($A17&amp;"-"&amp;N$1,Tabelle1!$H$2:$H$257,1,FALSE)),"","X")</f>
        <v/>
      </c>
      <c r="O17" t="str">
        <f>IF(ISERROR(VLOOKUP($A17&amp;"-"&amp;O$1,Tabelle1!$H$2:$H$257,1,FALSE)),"","X")</f>
        <v/>
      </c>
      <c r="P17" t="str">
        <f>IF(ISERROR(VLOOKUP($A17&amp;"-"&amp;P$1,Tabelle1!$H$2:$H$257,1,FALSE)),"","X")</f>
        <v/>
      </c>
    </row>
    <row r="18" spans="1:16" hidden="1">
      <c r="A18" s="1" t="s">
        <v>30</v>
      </c>
      <c r="B18" s="2" t="str">
        <f>VLOOKUP(A18,Tabelle1!$E$2:$G$257,3,FALSE)</f>
        <v>illegal</v>
      </c>
      <c r="C18" t="str">
        <f>IF(ISERROR(VLOOKUP($A18&amp;"-"&amp;C$1,Tabelle1!$H$2:$H$257,1,FALSE)),"","X")</f>
        <v>X</v>
      </c>
      <c r="D18" t="str">
        <f>IF(ISERROR(VLOOKUP($A18&amp;"-"&amp;D$1,Tabelle1!$H$2:$H$257,1,FALSE)),"","X")</f>
        <v/>
      </c>
      <c r="E18" t="str">
        <f>IF(ISERROR(VLOOKUP($A18&amp;"-"&amp;E$1,Tabelle1!$H$2:$H$257,1,FALSE)),"","X")</f>
        <v/>
      </c>
      <c r="F18" t="str">
        <f>IF(ISERROR(VLOOKUP($A18&amp;"-"&amp;F$1,Tabelle1!$H$2:$H$257,1,FALSE)),"","X")</f>
        <v/>
      </c>
      <c r="G18" t="str">
        <f>IF(ISERROR(VLOOKUP($A18&amp;"-"&amp;G$1,Tabelle1!$H$2:$H$257,1,FALSE)),"","X")</f>
        <v/>
      </c>
      <c r="H18" t="str">
        <f>IF(ISERROR(VLOOKUP($A18&amp;"-"&amp;H$1,Tabelle1!$H$2:$H$257,1,FALSE)),"","X")</f>
        <v/>
      </c>
      <c r="I18" t="str">
        <f>IF(ISERROR(VLOOKUP($A18&amp;"-"&amp;I$1,Tabelle1!$H$2:$H$257,1,FALSE)),"","X")</f>
        <v/>
      </c>
      <c r="J18" t="str">
        <f>IF(ISERROR(VLOOKUP($A18&amp;"-"&amp;J$1,Tabelle1!$H$2:$H$257,1,FALSE)),"","X")</f>
        <v/>
      </c>
      <c r="K18" t="str">
        <f>IF(ISERROR(VLOOKUP($A18&amp;"-"&amp;K$1,Tabelle1!$H$2:$H$257,1,FALSE)),"","X")</f>
        <v/>
      </c>
      <c r="L18" t="str">
        <f>IF(ISERROR(VLOOKUP($A18&amp;"-"&amp;L$1,Tabelle1!$H$2:$H$257,1,FALSE)),"","X")</f>
        <v/>
      </c>
      <c r="M18" t="str">
        <f>IF(ISERROR(VLOOKUP($A18&amp;"-"&amp;M$1,Tabelle1!$H$2:$H$257,1,FALSE)),"","X")</f>
        <v/>
      </c>
      <c r="N18" t="str">
        <f>IF(ISERROR(VLOOKUP($A18&amp;"-"&amp;N$1,Tabelle1!$H$2:$H$257,1,FALSE)),"","X")</f>
        <v/>
      </c>
      <c r="O18" t="str">
        <f>IF(ISERROR(VLOOKUP($A18&amp;"-"&amp;O$1,Tabelle1!$H$2:$H$257,1,FALSE)),"","X")</f>
        <v/>
      </c>
      <c r="P18" t="str">
        <f>IF(ISERROR(VLOOKUP($A18&amp;"-"&amp;P$1,Tabelle1!$H$2:$H$257,1,FALSE)),"","X")</f>
        <v/>
      </c>
    </row>
    <row r="19" spans="1:16">
      <c r="A19" s="1" t="s">
        <v>31</v>
      </c>
      <c r="B19" s="2" t="str">
        <f>VLOOKUP(A19,Tabelle1!$E$2:$G$257,3,FALSE)</f>
        <v>regulär</v>
      </c>
      <c r="C19" t="str">
        <f>IF(ISERROR(VLOOKUP($A19&amp;"-"&amp;C$1,Tabelle1!$H$2:$H$257,1,FALSE)),"","X")</f>
        <v/>
      </c>
      <c r="D19" t="str">
        <f>IF(ISERROR(VLOOKUP($A19&amp;"-"&amp;D$1,Tabelle1!$H$2:$H$257,1,FALSE)),"","X")</f>
        <v/>
      </c>
      <c r="E19" t="str">
        <f>IF(ISERROR(VLOOKUP($A19&amp;"-"&amp;E$1,Tabelle1!$H$2:$H$257,1,FALSE)),"","X")</f>
        <v/>
      </c>
      <c r="F19" t="str">
        <f>IF(ISERROR(VLOOKUP($A19&amp;"-"&amp;F$1,Tabelle1!$H$2:$H$257,1,FALSE)),"","X")</f>
        <v/>
      </c>
      <c r="G19" t="str">
        <f>IF(ISERROR(VLOOKUP($A19&amp;"-"&amp;G$1,Tabelle1!$H$2:$H$257,1,FALSE)),"","X")</f>
        <v/>
      </c>
      <c r="H19" t="str">
        <f>IF(ISERROR(VLOOKUP($A19&amp;"-"&amp;H$1,Tabelle1!$H$2:$H$257,1,FALSE)),"","X")</f>
        <v>X</v>
      </c>
      <c r="I19" t="str">
        <f>IF(ISERROR(VLOOKUP($A19&amp;"-"&amp;I$1,Tabelle1!$H$2:$H$257,1,FALSE)),"","X")</f>
        <v/>
      </c>
      <c r="J19" t="str">
        <f>IF(ISERROR(VLOOKUP($A19&amp;"-"&amp;J$1,Tabelle1!$H$2:$H$257,1,FALSE)),"","X")</f>
        <v/>
      </c>
      <c r="K19" t="str">
        <f>IF(ISERROR(VLOOKUP($A19&amp;"-"&amp;K$1,Tabelle1!$H$2:$H$257,1,FALSE)),"","X")</f>
        <v/>
      </c>
      <c r="L19" t="str">
        <f>IF(ISERROR(VLOOKUP($A19&amp;"-"&amp;L$1,Tabelle1!$H$2:$H$257,1,FALSE)),"","X")</f>
        <v/>
      </c>
      <c r="M19" t="str">
        <f>IF(ISERROR(VLOOKUP($A19&amp;"-"&amp;M$1,Tabelle1!$H$2:$H$257,1,FALSE)),"","X")</f>
        <v/>
      </c>
      <c r="N19" t="str">
        <f>IF(ISERROR(VLOOKUP($A19&amp;"-"&amp;N$1,Tabelle1!$H$2:$H$257,1,FALSE)),"","X")</f>
        <v/>
      </c>
      <c r="O19" t="str">
        <f>IF(ISERROR(VLOOKUP($A19&amp;"-"&amp;O$1,Tabelle1!$H$2:$H$257,1,FALSE)),"","X")</f>
        <v/>
      </c>
      <c r="P19" t="str">
        <f>IF(ISERROR(VLOOKUP($A19&amp;"-"&amp;P$1,Tabelle1!$H$2:$H$257,1,FALSE)),"","X")</f>
        <v/>
      </c>
    </row>
    <row r="20" spans="1:16">
      <c r="A20" s="1" t="s">
        <v>32</v>
      </c>
      <c r="B20" s="2" t="str">
        <f>VLOOKUP(A20,Tabelle1!$E$2:$G$257,3,FALSE)</f>
        <v>regulär</v>
      </c>
      <c r="C20" t="str">
        <f>IF(ISERROR(VLOOKUP($A20&amp;"-"&amp;C$1,Tabelle1!$H$2:$H$257,1,FALSE)),"","X")</f>
        <v>X</v>
      </c>
      <c r="D20" t="str">
        <f>IF(ISERROR(VLOOKUP($A20&amp;"-"&amp;D$1,Tabelle1!$H$2:$H$257,1,FALSE)),"","X")</f>
        <v/>
      </c>
      <c r="E20" t="str">
        <f>IF(ISERROR(VLOOKUP($A20&amp;"-"&amp;E$1,Tabelle1!$H$2:$H$257,1,FALSE)),"","X")</f>
        <v/>
      </c>
      <c r="F20" t="str">
        <f>IF(ISERROR(VLOOKUP($A20&amp;"-"&amp;F$1,Tabelle1!$H$2:$H$257,1,FALSE)),"","X")</f>
        <v/>
      </c>
      <c r="G20" t="str">
        <f>IF(ISERROR(VLOOKUP($A20&amp;"-"&amp;G$1,Tabelle1!$H$2:$H$257,1,FALSE)),"","X")</f>
        <v/>
      </c>
      <c r="H20" t="str">
        <f>IF(ISERROR(VLOOKUP($A20&amp;"-"&amp;H$1,Tabelle1!$H$2:$H$257,1,FALSE)),"","X")</f>
        <v/>
      </c>
      <c r="I20" t="str">
        <f>IF(ISERROR(VLOOKUP($A20&amp;"-"&amp;I$1,Tabelle1!$H$2:$H$257,1,FALSE)),"","X")</f>
        <v/>
      </c>
      <c r="J20" t="str">
        <f>IF(ISERROR(VLOOKUP($A20&amp;"-"&amp;J$1,Tabelle1!$H$2:$H$257,1,FALSE)),"","X")</f>
        <v/>
      </c>
      <c r="K20" t="str">
        <f>IF(ISERROR(VLOOKUP($A20&amp;"-"&amp;K$1,Tabelle1!$H$2:$H$257,1,FALSE)),"","X")</f>
        <v/>
      </c>
      <c r="L20" t="str">
        <f>IF(ISERROR(VLOOKUP($A20&amp;"-"&amp;L$1,Tabelle1!$H$2:$H$257,1,FALSE)),"","X")</f>
        <v/>
      </c>
      <c r="M20" t="str">
        <f>IF(ISERROR(VLOOKUP($A20&amp;"-"&amp;M$1,Tabelle1!$H$2:$H$257,1,FALSE)),"","X")</f>
        <v/>
      </c>
      <c r="N20" t="str">
        <f>IF(ISERROR(VLOOKUP($A20&amp;"-"&amp;N$1,Tabelle1!$H$2:$H$257,1,FALSE)),"","X")</f>
        <v/>
      </c>
      <c r="O20" t="str">
        <f>IF(ISERROR(VLOOKUP($A20&amp;"-"&amp;O$1,Tabelle1!$H$2:$H$257,1,FALSE)),"","X")</f>
        <v/>
      </c>
      <c r="P20" t="str">
        <f>IF(ISERROR(VLOOKUP($A20&amp;"-"&amp;P$1,Tabelle1!$H$2:$H$257,1,FALSE)),"","X")</f>
        <v/>
      </c>
    </row>
    <row r="21" spans="1:16" hidden="1">
      <c r="A21" s="1" t="s">
        <v>33</v>
      </c>
      <c r="B21" s="2" t="str">
        <f>VLOOKUP(A21,Tabelle1!$E$2:$G$257,3,FALSE)</f>
        <v>illegal</v>
      </c>
      <c r="C21" t="str">
        <f>IF(ISERROR(VLOOKUP($A21&amp;"-"&amp;C$1,Tabelle1!$H$2:$H$257,1,FALSE)),"","X")</f>
        <v>X</v>
      </c>
      <c r="D21" t="str">
        <f>IF(ISERROR(VLOOKUP($A21&amp;"-"&amp;D$1,Tabelle1!$H$2:$H$257,1,FALSE)),"","X")</f>
        <v/>
      </c>
      <c r="E21" t="str">
        <f>IF(ISERROR(VLOOKUP($A21&amp;"-"&amp;E$1,Tabelle1!$H$2:$H$257,1,FALSE)),"","X")</f>
        <v/>
      </c>
      <c r="F21" t="str">
        <f>IF(ISERROR(VLOOKUP($A21&amp;"-"&amp;F$1,Tabelle1!$H$2:$H$257,1,FALSE)),"","X")</f>
        <v/>
      </c>
      <c r="G21" t="str">
        <f>IF(ISERROR(VLOOKUP($A21&amp;"-"&amp;G$1,Tabelle1!$H$2:$H$257,1,FALSE)),"","X")</f>
        <v/>
      </c>
      <c r="H21" t="str">
        <f>IF(ISERROR(VLOOKUP($A21&amp;"-"&amp;H$1,Tabelle1!$H$2:$H$257,1,FALSE)),"","X")</f>
        <v/>
      </c>
      <c r="I21" t="str">
        <f>IF(ISERROR(VLOOKUP($A21&amp;"-"&amp;I$1,Tabelle1!$H$2:$H$257,1,FALSE)),"","X")</f>
        <v/>
      </c>
      <c r="J21" t="str">
        <f>IF(ISERROR(VLOOKUP($A21&amp;"-"&amp;J$1,Tabelle1!$H$2:$H$257,1,FALSE)),"","X")</f>
        <v/>
      </c>
      <c r="K21" t="str">
        <f>IF(ISERROR(VLOOKUP($A21&amp;"-"&amp;K$1,Tabelle1!$H$2:$H$257,1,FALSE)),"","X")</f>
        <v/>
      </c>
      <c r="L21" t="str">
        <f>IF(ISERROR(VLOOKUP($A21&amp;"-"&amp;L$1,Tabelle1!$H$2:$H$257,1,FALSE)),"","X")</f>
        <v/>
      </c>
      <c r="M21" t="str">
        <f>IF(ISERROR(VLOOKUP($A21&amp;"-"&amp;M$1,Tabelle1!$H$2:$H$257,1,FALSE)),"","X")</f>
        <v/>
      </c>
      <c r="N21" t="str">
        <f>IF(ISERROR(VLOOKUP($A21&amp;"-"&amp;N$1,Tabelle1!$H$2:$H$257,1,FALSE)),"","X")</f>
        <v/>
      </c>
      <c r="O21" t="str">
        <f>IF(ISERROR(VLOOKUP($A21&amp;"-"&amp;O$1,Tabelle1!$H$2:$H$257,1,FALSE)),"","X")</f>
        <v/>
      </c>
      <c r="P21" t="str">
        <f>IF(ISERROR(VLOOKUP($A21&amp;"-"&amp;P$1,Tabelle1!$H$2:$H$257,1,FALSE)),"","X")</f>
        <v/>
      </c>
    </row>
    <row r="22" spans="1:16">
      <c r="A22" s="1" t="s">
        <v>34</v>
      </c>
      <c r="B22" s="2" t="str">
        <f>VLOOKUP(A22,Tabelle1!$E$2:$G$257,3,FALSE)</f>
        <v>regulär</v>
      </c>
      <c r="C22" t="str">
        <f>IF(ISERROR(VLOOKUP($A22&amp;"-"&amp;C$1,Tabelle1!$H$2:$H$257,1,FALSE)),"","X")</f>
        <v>X</v>
      </c>
      <c r="D22" t="str">
        <f>IF(ISERROR(VLOOKUP($A22&amp;"-"&amp;D$1,Tabelle1!$H$2:$H$257,1,FALSE)),"","X")</f>
        <v/>
      </c>
      <c r="E22" t="str">
        <f>IF(ISERROR(VLOOKUP($A22&amp;"-"&amp;E$1,Tabelle1!$H$2:$H$257,1,FALSE)),"","X")</f>
        <v/>
      </c>
      <c r="F22" t="str">
        <f>IF(ISERROR(VLOOKUP($A22&amp;"-"&amp;F$1,Tabelle1!$H$2:$H$257,1,FALSE)),"","X")</f>
        <v/>
      </c>
      <c r="G22" t="str">
        <f>IF(ISERROR(VLOOKUP($A22&amp;"-"&amp;G$1,Tabelle1!$H$2:$H$257,1,FALSE)),"","X")</f>
        <v/>
      </c>
      <c r="H22" t="str">
        <f>IF(ISERROR(VLOOKUP($A22&amp;"-"&amp;H$1,Tabelle1!$H$2:$H$257,1,FALSE)),"","X")</f>
        <v/>
      </c>
      <c r="I22" t="str">
        <f>IF(ISERROR(VLOOKUP($A22&amp;"-"&amp;I$1,Tabelle1!$H$2:$H$257,1,FALSE)),"","X")</f>
        <v/>
      </c>
      <c r="J22" t="str">
        <f>IF(ISERROR(VLOOKUP($A22&amp;"-"&amp;J$1,Tabelle1!$H$2:$H$257,1,FALSE)),"","X")</f>
        <v/>
      </c>
      <c r="K22" t="str">
        <f>IF(ISERROR(VLOOKUP($A22&amp;"-"&amp;K$1,Tabelle1!$H$2:$H$257,1,FALSE)),"","X")</f>
        <v/>
      </c>
      <c r="L22" t="str">
        <f>IF(ISERROR(VLOOKUP($A22&amp;"-"&amp;L$1,Tabelle1!$H$2:$H$257,1,FALSE)),"","X")</f>
        <v/>
      </c>
      <c r="M22" t="str">
        <f>IF(ISERROR(VLOOKUP($A22&amp;"-"&amp;M$1,Tabelle1!$H$2:$H$257,1,FALSE)),"","X")</f>
        <v/>
      </c>
      <c r="N22" t="str">
        <f>IF(ISERROR(VLOOKUP($A22&amp;"-"&amp;N$1,Tabelle1!$H$2:$H$257,1,FALSE)),"","X")</f>
        <v/>
      </c>
      <c r="O22" t="str">
        <f>IF(ISERROR(VLOOKUP($A22&amp;"-"&amp;O$1,Tabelle1!$H$2:$H$257,1,FALSE)),"","X")</f>
        <v/>
      </c>
      <c r="P22" t="str">
        <f>IF(ISERROR(VLOOKUP($A22&amp;"-"&amp;P$1,Tabelle1!$H$2:$H$257,1,FALSE)),"","X")</f>
        <v/>
      </c>
    </row>
    <row r="23" spans="1:16">
      <c r="A23" s="1" t="s">
        <v>35</v>
      </c>
      <c r="B23" s="2" t="str">
        <f>VLOOKUP(A23,Tabelle1!$E$2:$G$257,3,FALSE)</f>
        <v>regulär</v>
      </c>
      <c r="C23" t="str">
        <f>IF(ISERROR(VLOOKUP($A23&amp;"-"&amp;C$1,Tabelle1!$H$2:$H$257,1,FALSE)),"","X")</f>
        <v/>
      </c>
      <c r="D23" t="str">
        <f>IF(ISERROR(VLOOKUP($A23&amp;"-"&amp;D$1,Tabelle1!$H$2:$H$257,1,FALSE)),"","X")</f>
        <v>X</v>
      </c>
      <c r="E23" t="str">
        <f>IF(ISERROR(VLOOKUP($A23&amp;"-"&amp;E$1,Tabelle1!$H$2:$H$257,1,FALSE)),"","X")</f>
        <v>X</v>
      </c>
      <c r="F23" t="str">
        <f>IF(ISERROR(VLOOKUP($A23&amp;"-"&amp;F$1,Tabelle1!$H$2:$H$257,1,FALSE)),"","X")</f>
        <v>X</v>
      </c>
      <c r="G23" t="str">
        <f>IF(ISERROR(VLOOKUP($A23&amp;"-"&amp;G$1,Tabelle1!$H$2:$H$257,1,FALSE)),"","X")</f>
        <v>X</v>
      </c>
      <c r="H23" t="str">
        <f>IF(ISERROR(VLOOKUP($A23&amp;"-"&amp;H$1,Tabelle1!$H$2:$H$257,1,FALSE)),"","X")</f>
        <v/>
      </c>
      <c r="I23" t="str">
        <f>IF(ISERROR(VLOOKUP($A23&amp;"-"&amp;I$1,Tabelle1!$H$2:$H$257,1,FALSE)),"","X")</f>
        <v>X</v>
      </c>
      <c r="J23" t="str">
        <f>IF(ISERROR(VLOOKUP($A23&amp;"-"&amp;J$1,Tabelle1!$H$2:$H$257,1,FALSE)),"","X")</f>
        <v>X</v>
      </c>
      <c r="K23" t="str">
        <f>IF(ISERROR(VLOOKUP($A23&amp;"-"&amp;K$1,Tabelle1!$H$2:$H$257,1,FALSE)),"","X")</f>
        <v>X</v>
      </c>
      <c r="L23" t="str">
        <f>IF(ISERROR(VLOOKUP($A23&amp;"-"&amp;L$1,Tabelle1!$H$2:$H$257,1,FALSE)),"","X")</f>
        <v>X</v>
      </c>
      <c r="M23" t="str">
        <f>IF(ISERROR(VLOOKUP($A23&amp;"-"&amp;M$1,Tabelle1!$H$2:$H$257,1,FALSE)),"","X")</f>
        <v>X</v>
      </c>
      <c r="N23" t="str">
        <f>IF(ISERROR(VLOOKUP($A23&amp;"-"&amp;N$1,Tabelle1!$H$2:$H$257,1,FALSE)),"","X")</f>
        <v/>
      </c>
      <c r="O23" t="str">
        <f>IF(ISERROR(VLOOKUP($A23&amp;"-"&amp;O$1,Tabelle1!$H$2:$H$257,1,FALSE)),"","X")</f>
        <v/>
      </c>
      <c r="P23" t="str">
        <f>IF(ISERROR(VLOOKUP($A23&amp;"-"&amp;P$1,Tabelle1!$H$2:$H$257,1,FALSE)),"","X")</f>
        <v/>
      </c>
    </row>
    <row r="24" spans="1:16">
      <c r="A24" s="1" t="s">
        <v>36</v>
      </c>
      <c r="B24" s="2" t="str">
        <f>VLOOKUP(A24,Tabelle1!$E$2:$G$257,3,FALSE)</f>
        <v>regulär</v>
      </c>
      <c r="C24" t="str">
        <f>IF(ISERROR(VLOOKUP($A24&amp;"-"&amp;C$1,Tabelle1!$H$2:$H$257,1,FALSE)),"","X")</f>
        <v/>
      </c>
      <c r="D24" t="str">
        <f>IF(ISERROR(VLOOKUP($A24&amp;"-"&amp;D$1,Tabelle1!$H$2:$H$257,1,FALSE)),"","X")</f>
        <v/>
      </c>
      <c r="E24" t="str">
        <f>IF(ISERROR(VLOOKUP($A24&amp;"-"&amp;E$1,Tabelle1!$H$2:$H$257,1,FALSE)),"","X")</f>
        <v>X</v>
      </c>
      <c r="F24" t="str">
        <f>IF(ISERROR(VLOOKUP($A24&amp;"-"&amp;F$1,Tabelle1!$H$2:$H$257,1,FALSE)),"","X")</f>
        <v/>
      </c>
      <c r="G24" t="str">
        <f>IF(ISERROR(VLOOKUP($A24&amp;"-"&amp;G$1,Tabelle1!$H$2:$H$257,1,FALSE)),"","X")</f>
        <v>X</v>
      </c>
      <c r="H24" t="str">
        <f>IF(ISERROR(VLOOKUP($A24&amp;"-"&amp;H$1,Tabelle1!$H$2:$H$257,1,FALSE)),"","X")</f>
        <v/>
      </c>
      <c r="I24" t="str">
        <f>IF(ISERROR(VLOOKUP($A24&amp;"-"&amp;I$1,Tabelle1!$H$2:$H$257,1,FALSE)),"","X")</f>
        <v/>
      </c>
      <c r="J24" t="str">
        <f>IF(ISERROR(VLOOKUP($A24&amp;"-"&amp;J$1,Tabelle1!$H$2:$H$257,1,FALSE)),"","X")</f>
        <v/>
      </c>
      <c r="K24" t="str">
        <f>IF(ISERROR(VLOOKUP($A24&amp;"-"&amp;K$1,Tabelle1!$H$2:$H$257,1,FALSE)),"","X")</f>
        <v>X</v>
      </c>
      <c r="L24" t="str">
        <f>IF(ISERROR(VLOOKUP($A24&amp;"-"&amp;L$1,Tabelle1!$H$2:$H$257,1,FALSE)),"","X")</f>
        <v/>
      </c>
      <c r="M24" t="str">
        <f>IF(ISERROR(VLOOKUP($A24&amp;"-"&amp;M$1,Tabelle1!$H$2:$H$257,1,FALSE)),"","X")</f>
        <v>X</v>
      </c>
      <c r="N24" t="str">
        <f>IF(ISERROR(VLOOKUP($A24&amp;"-"&amp;N$1,Tabelle1!$H$2:$H$257,1,FALSE)),"","X")</f>
        <v/>
      </c>
      <c r="O24" t="str">
        <f>IF(ISERROR(VLOOKUP($A24&amp;"-"&amp;O$1,Tabelle1!$H$2:$H$257,1,FALSE)),"","X")</f>
        <v/>
      </c>
      <c r="P24" t="str">
        <f>IF(ISERROR(VLOOKUP($A24&amp;"-"&amp;P$1,Tabelle1!$H$2:$H$257,1,FALSE)),"","X")</f>
        <v/>
      </c>
    </row>
    <row r="25" spans="1:16">
      <c r="A25" s="1" t="s">
        <v>37</v>
      </c>
      <c r="B25" s="2" t="str">
        <f>VLOOKUP(A25,Tabelle1!$E$2:$G$257,3,FALSE)</f>
        <v>regulär</v>
      </c>
      <c r="C25" t="str">
        <f>IF(ISERROR(VLOOKUP($A25&amp;"-"&amp;C$1,Tabelle1!$H$2:$H$257,1,FALSE)),"","X")</f>
        <v>X</v>
      </c>
      <c r="D25" t="str">
        <f>IF(ISERROR(VLOOKUP($A25&amp;"-"&amp;D$1,Tabelle1!$H$2:$H$257,1,FALSE)),"","X")</f>
        <v/>
      </c>
      <c r="E25" t="str">
        <f>IF(ISERROR(VLOOKUP($A25&amp;"-"&amp;E$1,Tabelle1!$H$2:$H$257,1,FALSE)),"","X")</f>
        <v/>
      </c>
      <c r="F25" t="str">
        <f>IF(ISERROR(VLOOKUP($A25&amp;"-"&amp;F$1,Tabelle1!$H$2:$H$257,1,FALSE)),"","X")</f>
        <v/>
      </c>
      <c r="G25" t="str">
        <f>IF(ISERROR(VLOOKUP($A25&amp;"-"&amp;G$1,Tabelle1!$H$2:$H$257,1,FALSE)),"","X")</f>
        <v/>
      </c>
      <c r="H25" t="str">
        <f>IF(ISERROR(VLOOKUP($A25&amp;"-"&amp;H$1,Tabelle1!$H$2:$H$257,1,FALSE)),"","X")</f>
        <v/>
      </c>
      <c r="I25" t="str">
        <f>IF(ISERROR(VLOOKUP($A25&amp;"-"&amp;I$1,Tabelle1!$H$2:$H$257,1,FALSE)),"","X")</f>
        <v/>
      </c>
      <c r="J25" t="str">
        <f>IF(ISERROR(VLOOKUP($A25&amp;"-"&amp;J$1,Tabelle1!$H$2:$H$257,1,FALSE)),"","X")</f>
        <v/>
      </c>
      <c r="K25" t="str">
        <f>IF(ISERROR(VLOOKUP($A25&amp;"-"&amp;K$1,Tabelle1!$H$2:$H$257,1,FALSE)),"","X")</f>
        <v/>
      </c>
      <c r="L25" t="str">
        <f>IF(ISERROR(VLOOKUP($A25&amp;"-"&amp;L$1,Tabelle1!$H$2:$H$257,1,FALSE)),"","X")</f>
        <v/>
      </c>
      <c r="M25" t="str">
        <f>IF(ISERROR(VLOOKUP($A25&amp;"-"&amp;M$1,Tabelle1!$H$2:$H$257,1,FALSE)),"","X")</f>
        <v/>
      </c>
      <c r="N25" t="str">
        <f>IF(ISERROR(VLOOKUP($A25&amp;"-"&amp;N$1,Tabelle1!$H$2:$H$257,1,FALSE)),"","X")</f>
        <v/>
      </c>
      <c r="O25" t="str">
        <f>IF(ISERROR(VLOOKUP($A25&amp;"-"&amp;O$1,Tabelle1!$H$2:$H$257,1,FALSE)),"","X")</f>
        <v/>
      </c>
      <c r="P25" t="str">
        <f>IF(ISERROR(VLOOKUP($A25&amp;"-"&amp;P$1,Tabelle1!$H$2:$H$257,1,FALSE)),"","X")</f>
        <v/>
      </c>
    </row>
    <row r="26" spans="1:16" hidden="1">
      <c r="A26" s="1" t="s">
        <v>38</v>
      </c>
      <c r="B26" s="2" t="str">
        <f>VLOOKUP(A26,Tabelle1!$E$2:$G$257,3,FALSE)</f>
        <v>illegal</v>
      </c>
      <c r="C26" t="str">
        <f>IF(ISERROR(VLOOKUP($A26&amp;"-"&amp;C$1,Tabelle1!$H$2:$H$257,1,FALSE)),"","X")</f>
        <v>X</v>
      </c>
      <c r="D26" t="str">
        <f>IF(ISERROR(VLOOKUP($A26&amp;"-"&amp;D$1,Tabelle1!$H$2:$H$257,1,FALSE)),"","X")</f>
        <v/>
      </c>
      <c r="E26" t="str">
        <f>IF(ISERROR(VLOOKUP($A26&amp;"-"&amp;E$1,Tabelle1!$H$2:$H$257,1,FALSE)),"","X")</f>
        <v/>
      </c>
      <c r="F26" t="str">
        <f>IF(ISERROR(VLOOKUP($A26&amp;"-"&amp;F$1,Tabelle1!$H$2:$H$257,1,FALSE)),"","X")</f>
        <v/>
      </c>
      <c r="G26" t="str">
        <f>IF(ISERROR(VLOOKUP($A26&amp;"-"&amp;G$1,Tabelle1!$H$2:$H$257,1,FALSE)),"","X")</f>
        <v/>
      </c>
      <c r="H26" t="str">
        <f>IF(ISERROR(VLOOKUP($A26&amp;"-"&amp;H$1,Tabelle1!$H$2:$H$257,1,FALSE)),"","X")</f>
        <v/>
      </c>
      <c r="I26" t="str">
        <f>IF(ISERROR(VLOOKUP($A26&amp;"-"&amp;I$1,Tabelle1!$H$2:$H$257,1,FALSE)),"","X")</f>
        <v/>
      </c>
      <c r="J26" t="str">
        <f>IF(ISERROR(VLOOKUP($A26&amp;"-"&amp;J$1,Tabelle1!$H$2:$H$257,1,FALSE)),"","X")</f>
        <v/>
      </c>
      <c r="K26" t="str">
        <f>IF(ISERROR(VLOOKUP($A26&amp;"-"&amp;K$1,Tabelle1!$H$2:$H$257,1,FALSE)),"","X")</f>
        <v/>
      </c>
      <c r="L26" t="str">
        <f>IF(ISERROR(VLOOKUP($A26&amp;"-"&amp;L$1,Tabelle1!$H$2:$H$257,1,FALSE)),"","X")</f>
        <v/>
      </c>
      <c r="M26" t="str">
        <f>IF(ISERROR(VLOOKUP($A26&amp;"-"&amp;M$1,Tabelle1!$H$2:$H$257,1,FALSE)),"","X")</f>
        <v/>
      </c>
      <c r="N26" t="str">
        <f>IF(ISERROR(VLOOKUP($A26&amp;"-"&amp;N$1,Tabelle1!$H$2:$H$257,1,FALSE)),"","X")</f>
        <v/>
      </c>
      <c r="O26" t="str">
        <f>IF(ISERROR(VLOOKUP($A26&amp;"-"&amp;O$1,Tabelle1!$H$2:$H$257,1,FALSE)),"","X")</f>
        <v/>
      </c>
      <c r="P26" t="str">
        <f>IF(ISERROR(VLOOKUP($A26&amp;"-"&amp;P$1,Tabelle1!$H$2:$H$257,1,FALSE)),"","X")</f>
        <v/>
      </c>
    </row>
    <row r="27" spans="1:16">
      <c r="A27" s="1" t="s">
        <v>39</v>
      </c>
      <c r="B27" s="2" t="str">
        <f>VLOOKUP(A27,Tabelle1!$E$2:$G$257,3,FALSE)</f>
        <v>regulär</v>
      </c>
      <c r="C27" t="str">
        <f>IF(ISERROR(VLOOKUP($A27&amp;"-"&amp;C$1,Tabelle1!$H$2:$H$257,1,FALSE)),"","X")</f>
        <v/>
      </c>
      <c r="D27" t="str">
        <f>IF(ISERROR(VLOOKUP($A27&amp;"-"&amp;D$1,Tabelle1!$H$2:$H$257,1,FALSE)),"","X")</f>
        <v/>
      </c>
      <c r="E27" t="str">
        <f>IF(ISERROR(VLOOKUP($A27&amp;"-"&amp;E$1,Tabelle1!$H$2:$H$257,1,FALSE)),"","X")</f>
        <v/>
      </c>
      <c r="F27" t="str">
        <f>IF(ISERROR(VLOOKUP($A27&amp;"-"&amp;F$1,Tabelle1!$H$2:$H$257,1,FALSE)),"","X")</f>
        <v/>
      </c>
      <c r="G27" t="str">
        <f>IF(ISERROR(VLOOKUP($A27&amp;"-"&amp;G$1,Tabelle1!$H$2:$H$257,1,FALSE)),"","X")</f>
        <v>X</v>
      </c>
      <c r="H27" t="str">
        <f>IF(ISERROR(VLOOKUP($A27&amp;"-"&amp;H$1,Tabelle1!$H$2:$H$257,1,FALSE)),"","X")</f>
        <v/>
      </c>
      <c r="I27" t="str">
        <f>IF(ISERROR(VLOOKUP($A27&amp;"-"&amp;I$1,Tabelle1!$H$2:$H$257,1,FALSE)),"","X")</f>
        <v/>
      </c>
      <c r="J27" t="str">
        <f>IF(ISERROR(VLOOKUP($A27&amp;"-"&amp;J$1,Tabelle1!$H$2:$H$257,1,FALSE)),"","X")</f>
        <v/>
      </c>
      <c r="K27" t="str">
        <f>IF(ISERROR(VLOOKUP($A27&amp;"-"&amp;K$1,Tabelle1!$H$2:$H$257,1,FALSE)),"","X")</f>
        <v/>
      </c>
      <c r="L27" t="str">
        <f>IF(ISERROR(VLOOKUP($A27&amp;"-"&amp;L$1,Tabelle1!$H$2:$H$257,1,FALSE)),"","X")</f>
        <v/>
      </c>
      <c r="M27" t="str">
        <f>IF(ISERROR(VLOOKUP($A27&amp;"-"&amp;M$1,Tabelle1!$H$2:$H$257,1,FALSE)),"","X")</f>
        <v/>
      </c>
      <c r="N27" t="str">
        <f>IF(ISERROR(VLOOKUP($A27&amp;"-"&amp;N$1,Tabelle1!$H$2:$H$257,1,FALSE)),"","X")</f>
        <v>X</v>
      </c>
      <c r="O27" t="str">
        <f>IF(ISERROR(VLOOKUP($A27&amp;"-"&amp;O$1,Tabelle1!$H$2:$H$257,1,FALSE)),"","X")</f>
        <v>X</v>
      </c>
      <c r="P27" t="str">
        <f>IF(ISERROR(VLOOKUP($A27&amp;"-"&amp;P$1,Tabelle1!$H$2:$H$257,1,FALSE)),"","X")</f>
        <v/>
      </c>
    </row>
    <row r="28" spans="1:16">
      <c r="A28" s="1" t="s">
        <v>40</v>
      </c>
      <c r="B28" s="2" t="str">
        <f>VLOOKUP(A28,Tabelle1!$E$2:$G$257,3,FALSE)</f>
        <v>regulär</v>
      </c>
      <c r="C28" t="str">
        <f>IF(ISERROR(VLOOKUP($A28&amp;"-"&amp;C$1,Tabelle1!$H$2:$H$257,1,FALSE)),"","X")</f>
        <v/>
      </c>
      <c r="D28" t="str">
        <f>IF(ISERROR(VLOOKUP($A28&amp;"-"&amp;D$1,Tabelle1!$H$2:$H$257,1,FALSE)),"","X")</f>
        <v/>
      </c>
      <c r="E28" t="str">
        <f>IF(ISERROR(VLOOKUP($A28&amp;"-"&amp;E$1,Tabelle1!$H$2:$H$257,1,FALSE)),"","X")</f>
        <v/>
      </c>
      <c r="F28" t="str">
        <f>IF(ISERROR(VLOOKUP($A28&amp;"-"&amp;F$1,Tabelle1!$H$2:$H$257,1,FALSE)),"","X")</f>
        <v/>
      </c>
      <c r="G28" t="str">
        <f>IF(ISERROR(VLOOKUP($A28&amp;"-"&amp;G$1,Tabelle1!$H$2:$H$257,1,FALSE)),"","X")</f>
        <v/>
      </c>
      <c r="H28" t="str">
        <f>IF(ISERROR(VLOOKUP($A28&amp;"-"&amp;H$1,Tabelle1!$H$2:$H$257,1,FALSE)),"","X")</f>
        <v>X</v>
      </c>
      <c r="I28" t="str">
        <f>IF(ISERROR(VLOOKUP($A28&amp;"-"&amp;I$1,Tabelle1!$H$2:$H$257,1,FALSE)),"","X")</f>
        <v/>
      </c>
      <c r="J28" t="str">
        <f>IF(ISERROR(VLOOKUP($A28&amp;"-"&amp;J$1,Tabelle1!$H$2:$H$257,1,FALSE)),"","X")</f>
        <v/>
      </c>
      <c r="K28" t="str">
        <f>IF(ISERROR(VLOOKUP($A28&amp;"-"&amp;K$1,Tabelle1!$H$2:$H$257,1,FALSE)),"","X")</f>
        <v/>
      </c>
      <c r="L28" t="str">
        <f>IF(ISERROR(VLOOKUP($A28&amp;"-"&amp;L$1,Tabelle1!$H$2:$H$257,1,FALSE)),"","X")</f>
        <v/>
      </c>
      <c r="M28" t="str">
        <f>IF(ISERROR(VLOOKUP($A28&amp;"-"&amp;M$1,Tabelle1!$H$2:$H$257,1,FALSE)),"","X")</f>
        <v/>
      </c>
      <c r="N28" t="str">
        <f>IF(ISERROR(VLOOKUP($A28&amp;"-"&amp;N$1,Tabelle1!$H$2:$H$257,1,FALSE)),"","X")</f>
        <v/>
      </c>
      <c r="O28" t="str">
        <f>IF(ISERROR(VLOOKUP($A28&amp;"-"&amp;O$1,Tabelle1!$H$2:$H$257,1,FALSE)),"","X")</f>
        <v/>
      </c>
      <c r="P28" t="str">
        <f>IF(ISERROR(VLOOKUP($A28&amp;"-"&amp;P$1,Tabelle1!$H$2:$H$257,1,FALSE)),"","X")</f>
        <v/>
      </c>
    </row>
    <row r="29" spans="1:16">
      <c r="A29" s="1" t="s">
        <v>41</v>
      </c>
      <c r="B29" s="2" t="str">
        <f>VLOOKUP(A29,Tabelle1!$E$2:$G$257,3,FALSE)</f>
        <v>regulär</v>
      </c>
      <c r="C29" t="str">
        <f>IF(ISERROR(VLOOKUP($A29&amp;"-"&amp;C$1,Tabelle1!$H$2:$H$257,1,FALSE)),"","X")</f>
        <v>X</v>
      </c>
      <c r="D29" t="str">
        <f>IF(ISERROR(VLOOKUP($A29&amp;"-"&amp;D$1,Tabelle1!$H$2:$H$257,1,FALSE)),"","X")</f>
        <v/>
      </c>
      <c r="E29" t="str">
        <f>IF(ISERROR(VLOOKUP($A29&amp;"-"&amp;E$1,Tabelle1!$H$2:$H$257,1,FALSE)),"","X")</f>
        <v/>
      </c>
      <c r="F29" t="str">
        <f>IF(ISERROR(VLOOKUP($A29&amp;"-"&amp;F$1,Tabelle1!$H$2:$H$257,1,FALSE)),"","X")</f>
        <v/>
      </c>
      <c r="G29" t="str">
        <f>IF(ISERROR(VLOOKUP($A29&amp;"-"&amp;G$1,Tabelle1!$H$2:$H$257,1,FALSE)),"","X")</f>
        <v/>
      </c>
      <c r="H29" t="str">
        <f>IF(ISERROR(VLOOKUP($A29&amp;"-"&amp;H$1,Tabelle1!$H$2:$H$257,1,FALSE)),"","X")</f>
        <v/>
      </c>
      <c r="I29" t="str">
        <f>IF(ISERROR(VLOOKUP($A29&amp;"-"&amp;I$1,Tabelle1!$H$2:$H$257,1,FALSE)),"","X")</f>
        <v/>
      </c>
      <c r="J29" t="str">
        <f>IF(ISERROR(VLOOKUP($A29&amp;"-"&amp;J$1,Tabelle1!$H$2:$H$257,1,FALSE)),"","X")</f>
        <v/>
      </c>
      <c r="K29" t="str">
        <f>IF(ISERROR(VLOOKUP($A29&amp;"-"&amp;K$1,Tabelle1!$H$2:$H$257,1,FALSE)),"","X")</f>
        <v/>
      </c>
      <c r="L29" t="str">
        <f>IF(ISERROR(VLOOKUP($A29&amp;"-"&amp;L$1,Tabelle1!$H$2:$H$257,1,FALSE)),"","X")</f>
        <v/>
      </c>
      <c r="M29" t="str">
        <f>IF(ISERROR(VLOOKUP($A29&amp;"-"&amp;M$1,Tabelle1!$H$2:$H$257,1,FALSE)),"","X")</f>
        <v/>
      </c>
      <c r="N29" t="str">
        <f>IF(ISERROR(VLOOKUP($A29&amp;"-"&amp;N$1,Tabelle1!$H$2:$H$257,1,FALSE)),"","X")</f>
        <v/>
      </c>
      <c r="O29" t="str">
        <f>IF(ISERROR(VLOOKUP($A29&amp;"-"&amp;O$1,Tabelle1!$H$2:$H$257,1,FALSE)),"","X")</f>
        <v/>
      </c>
      <c r="P29" t="str">
        <f>IF(ISERROR(VLOOKUP($A29&amp;"-"&amp;P$1,Tabelle1!$H$2:$H$257,1,FALSE)),"","X")</f>
        <v/>
      </c>
    </row>
    <row r="30" spans="1:16" hidden="1">
      <c r="A30" s="1" t="s">
        <v>42</v>
      </c>
      <c r="B30" s="2" t="str">
        <f>VLOOKUP(A30,Tabelle1!$E$2:$G$257,3,FALSE)</f>
        <v>illegal</v>
      </c>
      <c r="C30" t="str">
        <f>IF(ISERROR(VLOOKUP($A30&amp;"-"&amp;C$1,Tabelle1!$H$2:$H$257,1,FALSE)),"","X")</f>
        <v>X</v>
      </c>
      <c r="D30" t="str">
        <f>IF(ISERROR(VLOOKUP($A30&amp;"-"&amp;D$1,Tabelle1!$H$2:$H$257,1,FALSE)),"","X")</f>
        <v/>
      </c>
      <c r="E30" t="str">
        <f>IF(ISERROR(VLOOKUP($A30&amp;"-"&amp;E$1,Tabelle1!$H$2:$H$257,1,FALSE)),"","X")</f>
        <v/>
      </c>
      <c r="F30" t="str">
        <f>IF(ISERROR(VLOOKUP($A30&amp;"-"&amp;F$1,Tabelle1!$H$2:$H$257,1,FALSE)),"","X")</f>
        <v/>
      </c>
      <c r="G30" t="str">
        <f>IF(ISERROR(VLOOKUP($A30&amp;"-"&amp;G$1,Tabelle1!$H$2:$H$257,1,FALSE)),"","X")</f>
        <v/>
      </c>
      <c r="H30" t="str">
        <f>IF(ISERROR(VLOOKUP($A30&amp;"-"&amp;H$1,Tabelle1!$H$2:$H$257,1,FALSE)),"","X")</f>
        <v/>
      </c>
      <c r="I30" t="str">
        <f>IF(ISERROR(VLOOKUP($A30&amp;"-"&amp;I$1,Tabelle1!$H$2:$H$257,1,FALSE)),"","X")</f>
        <v/>
      </c>
      <c r="J30" t="str">
        <f>IF(ISERROR(VLOOKUP($A30&amp;"-"&amp;J$1,Tabelle1!$H$2:$H$257,1,FALSE)),"","X")</f>
        <v/>
      </c>
      <c r="K30" t="str">
        <f>IF(ISERROR(VLOOKUP($A30&amp;"-"&amp;K$1,Tabelle1!$H$2:$H$257,1,FALSE)),"","X")</f>
        <v/>
      </c>
      <c r="L30" t="str">
        <f>IF(ISERROR(VLOOKUP($A30&amp;"-"&amp;L$1,Tabelle1!$H$2:$H$257,1,FALSE)),"","X")</f>
        <v/>
      </c>
      <c r="M30" t="str">
        <f>IF(ISERROR(VLOOKUP($A30&amp;"-"&amp;M$1,Tabelle1!$H$2:$H$257,1,FALSE)),"","X")</f>
        <v/>
      </c>
      <c r="N30" t="str">
        <f>IF(ISERROR(VLOOKUP($A30&amp;"-"&amp;N$1,Tabelle1!$H$2:$H$257,1,FALSE)),"","X")</f>
        <v/>
      </c>
      <c r="O30" t="str">
        <f>IF(ISERROR(VLOOKUP($A30&amp;"-"&amp;O$1,Tabelle1!$H$2:$H$257,1,FALSE)),"","X")</f>
        <v/>
      </c>
      <c r="P30" t="str">
        <f>IF(ISERROR(VLOOKUP($A30&amp;"-"&amp;P$1,Tabelle1!$H$2:$H$257,1,FALSE)),"","X")</f>
        <v/>
      </c>
    </row>
    <row r="31" spans="1:16">
      <c r="A31" s="1" t="s">
        <v>43</v>
      </c>
      <c r="B31" s="2" t="str">
        <f>VLOOKUP(A31,Tabelle1!$E$2:$G$257,3,FALSE)</f>
        <v>regulär</v>
      </c>
      <c r="C31" t="str">
        <f>IF(ISERROR(VLOOKUP($A31&amp;"-"&amp;C$1,Tabelle1!$H$2:$H$257,1,FALSE)),"","X")</f>
        <v>X</v>
      </c>
      <c r="D31" t="str">
        <f>IF(ISERROR(VLOOKUP($A31&amp;"-"&amp;D$1,Tabelle1!$H$2:$H$257,1,FALSE)),"","X")</f>
        <v/>
      </c>
      <c r="E31" t="str">
        <f>IF(ISERROR(VLOOKUP($A31&amp;"-"&amp;E$1,Tabelle1!$H$2:$H$257,1,FALSE)),"","X")</f>
        <v/>
      </c>
      <c r="F31" t="str">
        <f>IF(ISERROR(VLOOKUP($A31&amp;"-"&amp;F$1,Tabelle1!$H$2:$H$257,1,FALSE)),"","X")</f>
        <v/>
      </c>
      <c r="G31" t="str">
        <f>IF(ISERROR(VLOOKUP($A31&amp;"-"&amp;G$1,Tabelle1!$H$2:$H$257,1,FALSE)),"","X")</f>
        <v/>
      </c>
      <c r="H31" t="str">
        <f>IF(ISERROR(VLOOKUP($A31&amp;"-"&amp;H$1,Tabelle1!$H$2:$H$257,1,FALSE)),"","X")</f>
        <v/>
      </c>
      <c r="I31" t="str">
        <f>IF(ISERROR(VLOOKUP($A31&amp;"-"&amp;I$1,Tabelle1!$H$2:$H$257,1,FALSE)),"","X")</f>
        <v/>
      </c>
      <c r="J31" t="str">
        <f>IF(ISERROR(VLOOKUP($A31&amp;"-"&amp;J$1,Tabelle1!$H$2:$H$257,1,FALSE)),"","X")</f>
        <v/>
      </c>
      <c r="K31" t="str">
        <f>IF(ISERROR(VLOOKUP($A31&amp;"-"&amp;K$1,Tabelle1!$H$2:$H$257,1,FALSE)),"","X")</f>
        <v/>
      </c>
      <c r="L31" t="str">
        <f>IF(ISERROR(VLOOKUP($A31&amp;"-"&amp;L$1,Tabelle1!$H$2:$H$257,1,FALSE)),"","X")</f>
        <v/>
      </c>
      <c r="M31" t="str">
        <f>IF(ISERROR(VLOOKUP($A31&amp;"-"&amp;M$1,Tabelle1!$H$2:$H$257,1,FALSE)),"","X")</f>
        <v/>
      </c>
      <c r="N31" t="str">
        <f>IF(ISERROR(VLOOKUP($A31&amp;"-"&amp;N$1,Tabelle1!$H$2:$H$257,1,FALSE)),"","X")</f>
        <v/>
      </c>
      <c r="O31" t="str">
        <f>IF(ISERROR(VLOOKUP($A31&amp;"-"&amp;O$1,Tabelle1!$H$2:$H$257,1,FALSE)),"","X")</f>
        <v/>
      </c>
      <c r="P31" t="str">
        <f>IF(ISERROR(VLOOKUP($A31&amp;"-"&amp;P$1,Tabelle1!$H$2:$H$257,1,FALSE)),"","X")</f>
        <v/>
      </c>
    </row>
    <row r="32" spans="1:16">
      <c r="A32" s="1" t="s">
        <v>44</v>
      </c>
      <c r="B32" s="2" t="str">
        <f>VLOOKUP(A32,Tabelle1!$E$2:$G$257,3,FALSE)</f>
        <v>regulär</v>
      </c>
      <c r="C32" t="str">
        <f>IF(ISERROR(VLOOKUP($A32&amp;"-"&amp;C$1,Tabelle1!$H$2:$H$257,1,FALSE)),"","X")</f>
        <v/>
      </c>
      <c r="D32" t="str">
        <f>IF(ISERROR(VLOOKUP($A32&amp;"-"&amp;D$1,Tabelle1!$H$2:$H$257,1,FALSE)),"","X")</f>
        <v>X</v>
      </c>
      <c r="E32" t="str">
        <f>IF(ISERROR(VLOOKUP($A32&amp;"-"&amp;E$1,Tabelle1!$H$2:$H$257,1,FALSE)),"","X")</f>
        <v>X</v>
      </c>
      <c r="F32" t="str">
        <f>IF(ISERROR(VLOOKUP($A32&amp;"-"&amp;F$1,Tabelle1!$H$2:$H$257,1,FALSE)),"","X")</f>
        <v>X</v>
      </c>
      <c r="G32" t="str">
        <f>IF(ISERROR(VLOOKUP($A32&amp;"-"&amp;G$1,Tabelle1!$H$2:$H$257,1,FALSE)),"","X")</f>
        <v>X</v>
      </c>
      <c r="H32" t="str">
        <f>IF(ISERROR(VLOOKUP($A32&amp;"-"&amp;H$1,Tabelle1!$H$2:$H$257,1,FALSE)),"","X")</f>
        <v/>
      </c>
      <c r="I32" t="str">
        <f>IF(ISERROR(VLOOKUP($A32&amp;"-"&amp;I$1,Tabelle1!$H$2:$H$257,1,FALSE)),"","X")</f>
        <v>X</v>
      </c>
      <c r="J32" t="str">
        <f>IF(ISERROR(VLOOKUP($A32&amp;"-"&amp;J$1,Tabelle1!$H$2:$H$257,1,FALSE)),"","X")</f>
        <v>X</v>
      </c>
      <c r="K32" t="str">
        <f>IF(ISERROR(VLOOKUP($A32&amp;"-"&amp;K$1,Tabelle1!$H$2:$H$257,1,FALSE)),"","X")</f>
        <v>X</v>
      </c>
      <c r="L32" t="str">
        <f>IF(ISERROR(VLOOKUP($A32&amp;"-"&amp;L$1,Tabelle1!$H$2:$H$257,1,FALSE)),"","X")</f>
        <v>X</v>
      </c>
      <c r="M32" t="str">
        <f>IF(ISERROR(VLOOKUP($A32&amp;"-"&amp;M$1,Tabelle1!$H$2:$H$257,1,FALSE)),"","X")</f>
        <v>X</v>
      </c>
      <c r="N32" t="str">
        <f>IF(ISERROR(VLOOKUP($A32&amp;"-"&amp;N$1,Tabelle1!$H$2:$H$257,1,FALSE)),"","X")</f>
        <v/>
      </c>
      <c r="O32" t="str">
        <f>IF(ISERROR(VLOOKUP($A32&amp;"-"&amp;O$1,Tabelle1!$H$2:$H$257,1,FALSE)),"","X")</f>
        <v/>
      </c>
      <c r="P32" t="str">
        <f>IF(ISERROR(VLOOKUP($A32&amp;"-"&amp;P$1,Tabelle1!$H$2:$H$257,1,FALSE)),"","X")</f>
        <v/>
      </c>
    </row>
    <row r="33" spans="1:16" hidden="1">
      <c r="A33" s="1" t="s">
        <v>45</v>
      </c>
      <c r="B33" s="2" t="str">
        <f>VLOOKUP(A33,Tabelle1!$E$2:$G$257,3,FALSE)</f>
        <v>illegal</v>
      </c>
      <c r="C33" t="str">
        <f>IF(ISERROR(VLOOKUP($A33&amp;"-"&amp;C$1,Tabelle1!$H$2:$H$257,1,FALSE)),"","X")</f>
        <v/>
      </c>
      <c r="D33" t="str">
        <f>IF(ISERROR(VLOOKUP($A33&amp;"-"&amp;D$1,Tabelle1!$H$2:$H$257,1,FALSE)),"","X")</f>
        <v/>
      </c>
      <c r="E33" t="str">
        <f>IF(ISERROR(VLOOKUP($A33&amp;"-"&amp;E$1,Tabelle1!$H$2:$H$257,1,FALSE)),"","X")</f>
        <v>X</v>
      </c>
      <c r="F33" t="str">
        <f>IF(ISERROR(VLOOKUP($A33&amp;"-"&amp;F$1,Tabelle1!$H$2:$H$257,1,FALSE)),"","X")</f>
        <v/>
      </c>
      <c r="G33" t="str">
        <f>IF(ISERROR(VLOOKUP($A33&amp;"-"&amp;G$1,Tabelle1!$H$2:$H$257,1,FALSE)),"","X")</f>
        <v>X</v>
      </c>
      <c r="H33" t="str">
        <f>IF(ISERROR(VLOOKUP($A33&amp;"-"&amp;H$1,Tabelle1!$H$2:$H$257,1,FALSE)),"","X")</f>
        <v/>
      </c>
      <c r="I33" t="str">
        <f>IF(ISERROR(VLOOKUP($A33&amp;"-"&amp;I$1,Tabelle1!$H$2:$H$257,1,FALSE)),"","X")</f>
        <v/>
      </c>
      <c r="J33" t="str">
        <f>IF(ISERROR(VLOOKUP($A33&amp;"-"&amp;J$1,Tabelle1!$H$2:$H$257,1,FALSE)),"","X")</f>
        <v/>
      </c>
      <c r="K33" t="str">
        <f>IF(ISERROR(VLOOKUP($A33&amp;"-"&amp;K$1,Tabelle1!$H$2:$H$257,1,FALSE)),"","X")</f>
        <v>X</v>
      </c>
      <c r="L33" t="str">
        <f>IF(ISERROR(VLOOKUP($A33&amp;"-"&amp;L$1,Tabelle1!$H$2:$H$257,1,FALSE)),"","X")</f>
        <v/>
      </c>
      <c r="M33" t="str">
        <f>IF(ISERROR(VLOOKUP($A33&amp;"-"&amp;M$1,Tabelle1!$H$2:$H$257,1,FALSE)),"","X")</f>
        <v>X</v>
      </c>
      <c r="N33" t="str">
        <f>IF(ISERROR(VLOOKUP($A33&amp;"-"&amp;N$1,Tabelle1!$H$2:$H$257,1,FALSE)),"","X")</f>
        <v/>
      </c>
      <c r="O33" t="str">
        <f>IF(ISERROR(VLOOKUP($A33&amp;"-"&amp;O$1,Tabelle1!$H$2:$H$257,1,FALSE)),"","X")</f>
        <v/>
      </c>
      <c r="P33" t="str">
        <f>IF(ISERROR(VLOOKUP($A33&amp;"-"&amp;P$1,Tabelle1!$H$2:$H$257,1,FALSE)),"","X")</f>
        <v/>
      </c>
    </row>
    <row r="34" spans="1:16">
      <c r="A34" s="1" t="s">
        <v>46</v>
      </c>
      <c r="B34" s="2" t="str">
        <f>VLOOKUP(A34,Tabelle1!$E$2:$G$257,3,FALSE)</f>
        <v>regulär</v>
      </c>
      <c r="C34" t="str">
        <f>IF(ISERROR(VLOOKUP($A34&amp;"-"&amp;C$1,Tabelle1!$H$2:$H$257,1,FALSE)),"","X")</f>
        <v/>
      </c>
      <c r="D34" t="str">
        <f>IF(ISERROR(VLOOKUP($A34&amp;"-"&amp;D$1,Tabelle1!$H$2:$H$257,1,FALSE)),"","X")</f>
        <v/>
      </c>
      <c r="E34" t="str">
        <f>IF(ISERROR(VLOOKUP($A34&amp;"-"&amp;E$1,Tabelle1!$H$2:$H$257,1,FALSE)),"","X")</f>
        <v>X</v>
      </c>
      <c r="F34" t="str">
        <f>IF(ISERROR(VLOOKUP($A34&amp;"-"&amp;F$1,Tabelle1!$H$2:$H$257,1,FALSE)),"","X")</f>
        <v/>
      </c>
      <c r="G34" t="str">
        <f>IF(ISERROR(VLOOKUP($A34&amp;"-"&amp;G$1,Tabelle1!$H$2:$H$257,1,FALSE)),"","X")</f>
        <v>X</v>
      </c>
      <c r="H34" t="str">
        <f>IF(ISERROR(VLOOKUP($A34&amp;"-"&amp;H$1,Tabelle1!$H$2:$H$257,1,FALSE)),"","X")</f>
        <v/>
      </c>
      <c r="I34" t="str">
        <f>IF(ISERROR(VLOOKUP($A34&amp;"-"&amp;I$1,Tabelle1!$H$2:$H$257,1,FALSE)),"","X")</f>
        <v/>
      </c>
      <c r="J34" t="str">
        <f>IF(ISERROR(VLOOKUP($A34&amp;"-"&amp;J$1,Tabelle1!$H$2:$H$257,1,FALSE)),"","X")</f>
        <v/>
      </c>
      <c r="K34" t="str">
        <f>IF(ISERROR(VLOOKUP($A34&amp;"-"&amp;K$1,Tabelle1!$H$2:$H$257,1,FALSE)),"","X")</f>
        <v>X</v>
      </c>
      <c r="L34" t="str">
        <f>IF(ISERROR(VLOOKUP($A34&amp;"-"&amp;L$1,Tabelle1!$H$2:$H$257,1,FALSE)),"","X")</f>
        <v/>
      </c>
      <c r="M34" t="str">
        <f>IF(ISERROR(VLOOKUP($A34&amp;"-"&amp;M$1,Tabelle1!$H$2:$H$257,1,FALSE)),"","X")</f>
        <v>X</v>
      </c>
      <c r="N34" t="str">
        <f>IF(ISERROR(VLOOKUP($A34&amp;"-"&amp;N$1,Tabelle1!$H$2:$H$257,1,FALSE)),"","X")</f>
        <v/>
      </c>
      <c r="O34" t="str">
        <f>IF(ISERROR(VLOOKUP($A34&amp;"-"&amp;O$1,Tabelle1!$H$2:$H$257,1,FALSE)),"","X")</f>
        <v/>
      </c>
      <c r="P34" t="str">
        <f>IF(ISERROR(VLOOKUP($A34&amp;"-"&amp;P$1,Tabelle1!$H$2:$H$257,1,FALSE)),"","X")</f>
        <v/>
      </c>
    </row>
    <row r="35" spans="1:16">
      <c r="A35" s="1" t="s">
        <v>47</v>
      </c>
      <c r="B35" s="2" t="str">
        <f>VLOOKUP(A35,Tabelle1!$E$2:$G$257,3,FALSE)</f>
        <v>regulär</v>
      </c>
      <c r="C35" t="str">
        <f>IF(ISERROR(VLOOKUP($A35&amp;"-"&amp;C$1,Tabelle1!$H$2:$H$257,1,FALSE)),"","X")</f>
        <v>X</v>
      </c>
      <c r="D35" t="str">
        <f>IF(ISERROR(VLOOKUP($A35&amp;"-"&amp;D$1,Tabelle1!$H$2:$H$257,1,FALSE)),"","X")</f>
        <v/>
      </c>
      <c r="E35" t="str">
        <f>IF(ISERROR(VLOOKUP($A35&amp;"-"&amp;E$1,Tabelle1!$H$2:$H$257,1,FALSE)),"","X")</f>
        <v/>
      </c>
      <c r="F35" t="str">
        <f>IF(ISERROR(VLOOKUP($A35&amp;"-"&amp;F$1,Tabelle1!$H$2:$H$257,1,FALSE)),"","X")</f>
        <v/>
      </c>
      <c r="G35" t="str">
        <f>IF(ISERROR(VLOOKUP($A35&amp;"-"&amp;G$1,Tabelle1!$H$2:$H$257,1,FALSE)),"","X")</f>
        <v/>
      </c>
      <c r="H35" t="str">
        <f>IF(ISERROR(VLOOKUP($A35&amp;"-"&amp;H$1,Tabelle1!$H$2:$H$257,1,FALSE)),"","X")</f>
        <v/>
      </c>
      <c r="I35" t="str">
        <f>IF(ISERROR(VLOOKUP($A35&amp;"-"&amp;I$1,Tabelle1!$H$2:$H$257,1,FALSE)),"","X")</f>
        <v/>
      </c>
      <c r="J35" t="str">
        <f>IF(ISERROR(VLOOKUP($A35&amp;"-"&amp;J$1,Tabelle1!$H$2:$H$257,1,FALSE)),"","X")</f>
        <v/>
      </c>
      <c r="K35" t="str">
        <f>IF(ISERROR(VLOOKUP($A35&amp;"-"&amp;K$1,Tabelle1!$H$2:$H$257,1,FALSE)),"","X")</f>
        <v/>
      </c>
      <c r="L35" t="str">
        <f>IF(ISERROR(VLOOKUP($A35&amp;"-"&amp;L$1,Tabelle1!$H$2:$H$257,1,FALSE)),"","X")</f>
        <v/>
      </c>
      <c r="M35" t="str">
        <f>IF(ISERROR(VLOOKUP($A35&amp;"-"&amp;M$1,Tabelle1!$H$2:$H$257,1,FALSE)),"","X")</f>
        <v/>
      </c>
      <c r="N35" t="str">
        <f>IF(ISERROR(VLOOKUP($A35&amp;"-"&amp;N$1,Tabelle1!$H$2:$H$257,1,FALSE)),"","X")</f>
        <v/>
      </c>
      <c r="O35" t="str">
        <f>IF(ISERROR(VLOOKUP($A35&amp;"-"&amp;O$1,Tabelle1!$H$2:$H$257,1,FALSE)),"","X")</f>
        <v/>
      </c>
      <c r="P35" t="str">
        <f>IF(ISERROR(VLOOKUP($A35&amp;"-"&amp;P$1,Tabelle1!$H$2:$H$257,1,FALSE)),"","X")</f>
        <v/>
      </c>
    </row>
    <row r="36" spans="1:16" hidden="1">
      <c r="A36" s="1" t="s">
        <v>48</v>
      </c>
      <c r="B36" s="2" t="str">
        <f>VLOOKUP(A36,Tabelle1!$E$2:$G$257,3,FALSE)</f>
        <v>illegal</v>
      </c>
      <c r="C36" t="str">
        <f>IF(ISERROR(VLOOKUP($A36&amp;"-"&amp;C$1,Tabelle1!$H$2:$H$257,1,FALSE)),"","X")</f>
        <v>X</v>
      </c>
      <c r="D36" t="str">
        <f>IF(ISERROR(VLOOKUP($A36&amp;"-"&amp;D$1,Tabelle1!$H$2:$H$257,1,FALSE)),"","X")</f>
        <v/>
      </c>
      <c r="E36" t="str">
        <f>IF(ISERROR(VLOOKUP($A36&amp;"-"&amp;E$1,Tabelle1!$H$2:$H$257,1,FALSE)),"","X")</f>
        <v/>
      </c>
      <c r="F36" t="str">
        <f>IF(ISERROR(VLOOKUP($A36&amp;"-"&amp;F$1,Tabelle1!$H$2:$H$257,1,FALSE)),"","X")</f>
        <v/>
      </c>
      <c r="G36" t="str">
        <f>IF(ISERROR(VLOOKUP($A36&amp;"-"&amp;G$1,Tabelle1!$H$2:$H$257,1,FALSE)),"","X")</f>
        <v/>
      </c>
      <c r="H36" t="str">
        <f>IF(ISERROR(VLOOKUP($A36&amp;"-"&amp;H$1,Tabelle1!$H$2:$H$257,1,FALSE)),"","X")</f>
        <v/>
      </c>
      <c r="I36" t="str">
        <f>IF(ISERROR(VLOOKUP($A36&amp;"-"&amp;I$1,Tabelle1!$H$2:$H$257,1,FALSE)),"","X")</f>
        <v/>
      </c>
      <c r="J36" t="str">
        <f>IF(ISERROR(VLOOKUP($A36&amp;"-"&amp;J$1,Tabelle1!$H$2:$H$257,1,FALSE)),"","X")</f>
        <v/>
      </c>
      <c r="K36" t="str">
        <f>IF(ISERROR(VLOOKUP($A36&amp;"-"&amp;K$1,Tabelle1!$H$2:$H$257,1,FALSE)),"","X")</f>
        <v/>
      </c>
      <c r="L36" t="str">
        <f>IF(ISERROR(VLOOKUP($A36&amp;"-"&amp;L$1,Tabelle1!$H$2:$H$257,1,FALSE)),"","X")</f>
        <v/>
      </c>
      <c r="M36" t="str">
        <f>IF(ISERROR(VLOOKUP($A36&amp;"-"&amp;M$1,Tabelle1!$H$2:$H$257,1,FALSE)),"","X")</f>
        <v/>
      </c>
      <c r="N36" t="str">
        <f>IF(ISERROR(VLOOKUP($A36&amp;"-"&amp;N$1,Tabelle1!$H$2:$H$257,1,FALSE)),"","X")</f>
        <v/>
      </c>
      <c r="O36" t="str">
        <f>IF(ISERROR(VLOOKUP($A36&amp;"-"&amp;O$1,Tabelle1!$H$2:$H$257,1,FALSE)),"","X")</f>
        <v/>
      </c>
      <c r="P36" t="str">
        <f>IF(ISERROR(VLOOKUP($A36&amp;"-"&amp;P$1,Tabelle1!$H$2:$H$257,1,FALSE)),"","X")</f>
        <v/>
      </c>
    </row>
    <row r="37" spans="1:16">
      <c r="A37" s="1" t="s">
        <v>50</v>
      </c>
      <c r="B37" s="2" t="str">
        <f>VLOOKUP(A37,Tabelle1!$E$2:$G$257,3,FALSE)</f>
        <v>regulär</v>
      </c>
      <c r="C37" t="str">
        <f>IF(ISERROR(VLOOKUP($A37&amp;"-"&amp;C$1,Tabelle1!$H$2:$H$257,1,FALSE)),"","X")</f>
        <v/>
      </c>
      <c r="D37" t="str">
        <f>IF(ISERROR(VLOOKUP($A37&amp;"-"&amp;D$1,Tabelle1!$H$2:$H$257,1,FALSE)),"","X")</f>
        <v/>
      </c>
      <c r="E37" t="str">
        <f>IF(ISERROR(VLOOKUP($A37&amp;"-"&amp;E$1,Tabelle1!$H$2:$H$257,1,FALSE)),"","X")</f>
        <v/>
      </c>
      <c r="F37" t="str">
        <f>IF(ISERROR(VLOOKUP($A37&amp;"-"&amp;F$1,Tabelle1!$H$2:$H$257,1,FALSE)),"","X")</f>
        <v/>
      </c>
      <c r="G37" t="str">
        <f>IF(ISERROR(VLOOKUP($A37&amp;"-"&amp;G$1,Tabelle1!$H$2:$H$257,1,FALSE)),"","X")</f>
        <v/>
      </c>
      <c r="H37" t="str">
        <f>IF(ISERROR(VLOOKUP($A37&amp;"-"&amp;H$1,Tabelle1!$H$2:$H$257,1,FALSE)),"","X")</f>
        <v>X</v>
      </c>
      <c r="I37" t="str">
        <f>IF(ISERROR(VLOOKUP($A37&amp;"-"&amp;I$1,Tabelle1!$H$2:$H$257,1,FALSE)),"","X")</f>
        <v/>
      </c>
      <c r="J37" t="str">
        <f>IF(ISERROR(VLOOKUP($A37&amp;"-"&amp;J$1,Tabelle1!$H$2:$H$257,1,FALSE)),"","X")</f>
        <v/>
      </c>
      <c r="K37" t="str">
        <f>IF(ISERROR(VLOOKUP($A37&amp;"-"&amp;K$1,Tabelle1!$H$2:$H$257,1,FALSE)),"","X")</f>
        <v/>
      </c>
      <c r="L37" t="str">
        <f>IF(ISERROR(VLOOKUP($A37&amp;"-"&amp;L$1,Tabelle1!$H$2:$H$257,1,FALSE)),"","X")</f>
        <v/>
      </c>
      <c r="M37" t="str">
        <f>IF(ISERROR(VLOOKUP($A37&amp;"-"&amp;M$1,Tabelle1!$H$2:$H$257,1,FALSE)),"","X")</f>
        <v/>
      </c>
      <c r="N37" t="str">
        <f>IF(ISERROR(VLOOKUP($A37&amp;"-"&amp;N$1,Tabelle1!$H$2:$H$257,1,FALSE)),"","X")</f>
        <v/>
      </c>
      <c r="O37" t="str">
        <f>IF(ISERROR(VLOOKUP($A37&amp;"-"&amp;O$1,Tabelle1!$H$2:$H$257,1,FALSE)),"","X")</f>
        <v/>
      </c>
      <c r="P37" t="str">
        <f>IF(ISERROR(VLOOKUP($A37&amp;"-"&amp;P$1,Tabelle1!$H$2:$H$257,1,FALSE)),"","X")</f>
        <v/>
      </c>
    </row>
    <row r="38" spans="1:16">
      <c r="A38" s="1" t="s">
        <v>51</v>
      </c>
      <c r="B38" s="2" t="str">
        <f>VLOOKUP(A38,Tabelle1!$E$2:$G$257,3,FALSE)</f>
        <v>regulär</v>
      </c>
      <c r="C38" t="str">
        <f>IF(ISERROR(VLOOKUP($A38&amp;"-"&amp;C$1,Tabelle1!$H$2:$H$257,1,FALSE)),"","X")</f>
        <v>X</v>
      </c>
      <c r="D38" t="str">
        <f>IF(ISERROR(VLOOKUP($A38&amp;"-"&amp;D$1,Tabelle1!$H$2:$H$257,1,FALSE)),"","X")</f>
        <v/>
      </c>
      <c r="E38" t="str">
        <f>IF(ISERROR(VLOOKUP($A38&amp;"-"&amp;E$1,Tabelle1!$H$2:$H$257,1,FALSE)),"","X")</f>
        <v/>
      </c>
      <c r="F38" t="str">
        <f>IF(ISERROR(VLOOKUP($A38&amp;"-"&amp;F$1,Tabelle1!$H$2:$H$257,1,FALSE)),"","X")</f>
        <v/>
      </c>
      <c r="G38" t="str">
        <f>IF(ISERROR(VLOOKUP($A38&amp;"-"&amp;G$1,Tabelle1!$H$2:$H$257,1,FALSE)),"","X")</f>
        <v/>
      </c>
      <c r="H38" t="str">
        <f>IF(ISERROR(VLOOKUP($A38&amp;"-"&amp;H$1,Tabelle1!$H$2:$H$257,1,FALSE)),"","X")</f>
        <v/>
      </c>
      <c r="I38" t="str">
        <f>IF(ISERROR(VLOOKUP($A38&amp;"-"&amp;I$1,Tabelle1!$H$2:$H$257,1,FALSE)),"","X")</f>
        <v/>
      </c>
      <c r="J38" t="str">
        <f>IF(ISERROR(VLOOKUP($A38&amp;"-"&amp;J$1,Tabelle1!$H$2:$H$257,1,FALSE)),"","X")</f>
        <v/>
      </c>
      <c r="K38" t="str">
        <f>IF(ISERROR(VLOOKUP($A38&amp;"-"&amp;K$1,Tabelle1!$H$2:$H$257,1,FALSE)),"","X")</f>
        <v/>
      </c>
      <c r="L38" t="str">
        <f>IF(ISERROR(VLOOKUP($A38&amp;"-"&amp;L$1,Tabelle1!$H$2:$H$257,1,FALSE)),"","X")</f>
        <v/>
      </c>
      <c r="M38" t="str">
        <f>IF(ISERROR(VLOOKUP($A38&amp;"-"&amp;M$1,Tabelle1!$H$2:$H$257,1,FALSE)),"","X")</f>
        <v/>
      </c>
      <c r="N38" t="str">
        <f>IF(ISERROR(VLOOKUP($A38&amp;"-"&amp;N$1,Tabelle1!$H$2:$H$257,1,FALSE)),"","X")</f>
        <v/>
      </c>
      <c r="O38" t="str">
        <f>IF(ISERROR(VLOOKUP($A38&amp;"-"&amp;O$1,Tabelle1!$H$2:$H$257,1,FALSE)),"","X")</f>
        <v/>
      </c>
      <c r="P38" t="str">
        <f>IF(ISERROR(VLOOKUP($A38&amp;"-"&amp;P$1,Tabelle1!$H$2:$H$257,1,FALSE)),"","X")</f>
        <v/>
      </c>
    </row>
    <row r="39" spans="1:16" hidden="1">
      <c r="A39" s="1" t="s">
        <v>52</v>
      </c>
      <c r="B39" s="2" t="str">
        <f>VLOOKUP(A39,Tabelle1!$E$2:$G$257,3,FALSE)</f>
        <v>illegal</v>
      </c>
      <c r="C39" t="str">
        <f>IF(ISERROR(VLOOKUP($A39&amp;"-"&amp;C$1,Tabelle1!$H$2:$H$257,1,FALSE)),"","X")</f>
        <v>X</v>
      </c>
      <c r="D39" t="str">
        <f>IF(ISERROR(VLOOKUP($A39&amp;"-"&amp;D$1,Tabelle1!$H$2:$H$257,1,FALSE)),"","X")</f>
        <v/>
      </c>
      <c r="E39" t="str">
        <f>IF(ISERROR(VLOOKUP($A39&amp;"-"&amp;E$1,Tabelle1!$H$2:$H$257,1,FALSE)),"","X")</f>
        <v/>
      </c>
      <c r="F39" t="str">
        <f>IF(ISERROR(VLOOKUP($A39&amp;"-"&amp;F$1,Tabelle1!$H$2:$H$257,1,FALSE)),"","X")</f>
        <v/>
      </c>
      <c r="G39" t="str">
        <f>IF(ISERROR(VLOOKUP($A39&amp;"-"&amp;G$1,Tabelle1!$H$2:$H$257,1,FALSE)),"","X")</f>
        <v/>
      </c>
      <c r="H39" t="str">
        <f>IF(ISERROR(VLOOKUP($A39&amp;"-"&amp;H$1,Tabelle1!$H$2:$H$257,1,FALSE)),"","X")</f>
        <v/>
      </c>
      <c r="I39" t="str">
        <f>IF(ISERROR(VLOOKUP($A39&amp;"-"&amp;I$1,Tabelle1!$H$2:$H$257,1,FALSE)),"","X")</f>
        <v/>
      </c>
      <c r="J39" t="str">
        <f>IF(ISERROR(VLOOKUP($A39&amp;"-"&amp;J$1,Tabelle1!$H$2:$H$257,1,FALSE)),"","X")</f>
        <v/>
      </c>
      <c r="K39" t="str">
        <f>IF(ISERROR(VLOOKUP($A39&amp;"-"&amp;K$1,Tabelle1!$H$2:$H$257,1,FALSE)),"","X")</f>
        <v/>
      </c>
      <c r="L39" t="str">
        <f>IF(ISERROR(VLOOKUP($A39&amp;"-"&amp;L$1,Tabelle1!$H$2:$H$257,1,FALSE)),"","X")</f>
        <v/>
      </c>
      <c r="M39" t="str">
        <f>IF(ISERROR(VLOOKUP($A39&amp;"-"&amp;M$1,Tabelle1!$H$2:$H$257,1,FALSE)),"","X")</f>
        <v/>
      </c>
      <c r="N39" t="str">
        <f>IF(ISERROR(VLOOKUP($A39&amp;"-"&amp;N$1,Tabelle1!$H$2:$H$257,1,FALSE)),"","X")</f>
        <v/>
      </c>
      <c r="O39" t="str">
        <f>IF(ISERROR(VLOOKUP($A39&amp;"-"&amp;O$1,Tabelle1!$H$2:$H$257,1,FALSE)),"","X")</f>
        <v/>
      </c>
      <c r="P39" t="str">
        <f>IF(ISERROR(VLOOKUP($A39&amp;"-"&amp;P$1,Tabelle1!$H$2:$H$257,1,FALSE)),"","X")</f>
        <v/>
      </c>
    </row>
    <row r="40" spans="1:16" hidden="1">
      <c r="A40" s="1" t="s">
        <v>54</v>
      </c>
      <c r="B40" s="2" t="str">
        <f>VLOOKUP(A40,Tabelle1!$E$2:$G$257,3,FALSE)</f>
        <v>illegal</v>
      </c>
      <c r="C40" t="str">
        <f>IF(ISERROR(VLOOKUP($A40&amp;"-"&amp;C$1,Tabelle1!$H$2:$H$257,1,FALSE)),"","X")</f>
        <v/>
      </c>
      <c r="D40" t="str">
        <f>IF(ISERROR(VLOOKUP($A40&amp;"-"&amp;D$1,Tabelle1!$H$2:$H$257,1,FALSE)),"","X")</f>
        <v/>
      </c>
      <c r="E40" t="str">
        <f>IF(ISERROR(VLOOKUP($A40&amp;"-"&amp;E$1,Tabelle1!$H$2:$H$257,1,FALSE)),"","X")</f>
        <v/>
      </c>
      <c r="F40" t="str">
        <f>IF(ISERROR(VLOOKUP($A40&amp;"-"&amp;F$1,Tabelle1!$H$2:$H$257,1,FALSE)),"","X")</f>
        <v/>
      </c>
      <c r="G40" t="str">
        <f>IF(ISERROR(VLOOKUP($A40&amp;"-"&amp;G$1,Tabelle1!$H$2:$H$257,1,FALSE)),"","X")</f>
        <v/>
      </c>
      <c r="H40" t="str">
        <f>IF(ISERROR(VLOOKUP($A40&amp;"-"&amp;H$1,Tabelle1!$H$2:$H$257,1,FALSE)),"","X")</f>
        <v>X</v>
      </c>
      <c r="I40" t="str">
        <f>IF(ISERROR(VLOOKUP($A40&amp;"-"&amp;I$1,Tabelle1!$H$2:$H$257,1,FALSE)),"","X")</f>
        <v/>
      </c>
      <c r="J40" t="str">
        <f>IF(ISERROR(VLOOKUP($A40&amp;"-"&amp;J$1,Tabelle1!$H$2:$H$257,1,FALSE)),"","X")</f>
        <v/>
      </c>
      <c r="K40" t="str">
        <f>IF(ISERROR(VLOOKUP($A40&amp;"-"&amp;K$1,Tabelle1!$H$2:$H$257,1,FALSE)),"","X")</f>
        <v/>
      </c>
      <c r="L40" t="str">
        <f>IF(ISERROR(VLOOKUP($A40&amp;"-"&amp;L$1,Tabelle1!$H$2:$H$257,1,FALSE)),"","X")</f>
        <v/>
      </c>
      <c r="M40" t="str">
        <f>IF(ISERROR(VLOOKUP($A40&amp;"-"&amp;M$1,Tabelle1!$H$2:$H$257,1,FALSE)),"","X")</f>
        <v/>
      </c>
      <c r="N40" t="str">
        <f>IF(ISERROR(VLOOKUP($A40&amp;"-"&amp;N$1,Tabelle1!$H$2:$H$257,1,FALSE)),"","X")</f>
        <v/>
      </c>
      <c r="O40" t="str">
        <f>IF(ISERROR(VLOOKUP($A40&amp;"-"&amp;O$1,Tabelle1!$H$2:$H$257,1,FALSE)),"","X")</f>
        <v/>
      </c>
      <c r="P40" t="str">
        <f>IF(ISERROR(VLOOKUP($A40&amp;"-"&amp;P$1,Tabelle1!$H$2:$H$257,1,FALSE)),"","X")</f>
        <v/>
      </c>
    </row>
    <row r="41" spans="1:16">
      <c r="A41" s="1" t="s">
        <v>55</v>
      </c>
      <c r="B41" s="2" t="str">
        <f>VLOOKUP(A41,Tabelle1!$E$2:$G$257,3,FALSE)</f>
        <v>regulär</v>
      </c>
      <c r="C41" t="str">
        <f>IF(ISERROR(VLOOKUP($A41&amp;"-"&amp;C$1,Tabelle1!$H$2:$H$257,1,FALSE)),"","X")</f>
        <v/>
      </c>
      <c r="D41" t="str">
        <f>IF(ISERROR(VLOOKUP($A41&amp;"-"&amp;D$1,Tabelle1!$H$2:$H$257,1,FALSE)),"","X")</f>
        <v>X</v>
      </c>
      <c r="E41" t="str">
        <f>IF(ISERROR(VLOOKUP($A41&amp;"-"&amp;E$1,Tabelle1!$H$2:$H$257,1,FALSE)),"","X")</f>
        <v>X</v>
      </c>
      <c r="F41" t="str">
        <f>IF(ISERROR(VLOOKUP($A41&amp;"-"&amp;F$1,Tabelle1!$H$2:$H$257,1,FALSE)),"","X")</f>
        <v/>
      </c>
      <c r="G41" t="str">
        <f>IF(ISERROR(VLOOKUP($A41&amp;"-"&amp;G$1,Tabelle1!$H$2:$H$257,1,FALSE)),"","X")</f>
        <v>X</v>
      </c>
      <c r="H41" t="str">
        <f>IF(ISERROR(VLOOKUP($A41&amp;"-"&amp;H$1,Tabelle1!$H$2:$H$257,1,FALSE)),"","X")</f>
        <v/>
      </c>
      <c r="I41" t="str">
        <f>IF(ISERROR(VLOOKUP($A41&amp;"-"&amp;I$1,Tabelle1!$H$2:$H$257,1,FALSE)),"","X")</f>
        <v>X</v>
      </c>
      <c r="J41" t="str">
        <f>IF(ISERROR(VLOOKUP($A41&amp;"-"&amp;J$1,Tabelle1!$H$2:$H$257,1,FALSE)),"","X")</f>
        <v>X</v>
      </c>
      <c r="K41" t="str">
        <f>IF(ISERROR(VLOOKUP($A41&amp;"-"&amp;K$1,Tabelle1!$H$2:$H$257,1,FALSE)),"","X")</f>
        <v>X</v>
      </c>
      <c r="L41" t="str">
        <f>IF(ISERROR(VLOOKUP($A41&amp;"-"&amp;L$1,Tabelle1!$H$2:$H$257,1,FALSE)),"","X")</f>
        <v>X</v>
      </c>
      <c r="M41" t="str">
        <f>IF(ISERROR(VLOOKUP($A41&amp;"-"&amp;M$1,Tabelle1!$H$2:$H$257,1,FALSE)),"","X")</f>
        <v>X</v>
      </c>
      <c r="N41" t="str">
        <f>IF(ISERROR(VLOOKUP($A41&amp;"-"&amp;N$1,Tabelle1!$H$2:$H$257,1,FALSE)),"","X")</f>
        <v/>
      </c>
      <c r="O41" t="str">
        <f>IF(ISERROR(VLOOKUP($A41&amp;"-"&amp;O$1,Tabelle1!$H$2:$H$257,1,FALSE)),"","X")</f>
        <v/>
      </c>
      <c r="P41" t="str">
        <f>IF(ISERROR(VLOOKUP($A41&amp;"-"&amp;P$1,Tabelle1!$H$2:$H$257,1,FALSE)),"","X")</f>
        <v/>
      </c>
    </row>
    <row r="42" spans="1:16">
      <c r="A42" s="1" t="s">
        <v>56</v>
      </c>
      <c r="B42" s="2" t="str">
        <f>VLOOKUP(A42,Tabelle1!$E$2:$G$257,3,FALSE)</f>
        <v>regulär</v>
      </c>
      <c r="C42" t="str">
        <f>IF(ISERROR(VLOOKUP($A42&amp;"-"&amp;C$1,Tabelle1!$H$2:$H$257,1,FALSE)),"","X")</f>
        <v/>
      </c>
      <c r="D42" t="str">
        <f>IF(ISERROR(VLOOKUP($A42&amp;"-"&amp;D$1,Tabelle1!$H$2:$H$257,1,FALSE)),"","X")</f>
        <v/>
      </c>
      <c r="E42" t="str">
        <f>IF(ISERROR(VLOOKUP($A42&amp;"-"&amp;E$1,Tabelle1!$H$2:$H$257,1,FALSE)),"","X")</f>
        <v>X</v>
      </c>
      <c r="F42" t="str">
        <f>IF(ISERROR(VLOOKUP($A42&amp;"-"&amp;F$1,Tabelle1!$H$2:$H$257,1,FALSE)),"","X")</f>
        <v/>
      </c>
      <c r="G42" t="str">
        <f>IF(ISERROR(VLOOKUP($A42&amp;"-"&amp;G$1,Tabelle1!$H$2:$H$257,1,FALSE)),"","X")</f>
        <v>X</v>
      </c>
      <c r="H42" t="str">
        <f>IF(ISERROR(VLOOKUP($A42&amp;"-"&amp;H$1,Tabelle1!$H$2:$H$257,1,FALSE)),"","X")</f>
        <v/>
      </c>
      <c r="I42" t="str">
        <f>IF(ISERROR(VLOOKUP($A42&amp;"-"&amp;I$1,Tabelle1!$H$2:$H$257,1,FALSE)),"","X")</f>
        <v/>
      </c>
      <c r="J42" t="str">
        <f>IF(ISERROR(VLOOKUP($A42&amp;"-"&amp;J$1,Tabelle1!$H$2:$H$257,1,FALSE)),"","X")</f>
        <v/>
      </c>
      <c r="K42" t="str">
        <f>IF(ISERROR(VLOOKUP($A42&amp;"-"&amp;K$1,Tabelle1!$H$2:$H$257,1,FALSE)),"","X")</f>
        <v>X</v>
      </c>
      <c r="L42" t="str">
        <f>IF(ISERROR(VLOOKUP($A42&amp;"-"&amp;L$1,Tabelle1!$H$2:$H$257,1,FALSE)),"","X")</f>
        <v/>
      </c>
      <c r="M42" t="str">
        <f>IF(ISERROR(VLOOKUP($A42&amp;"-"&amp;M$1,Tabelle1!$H$2:$H$257,1,FALSE)),"","X")</f>
        <v/>
      </c>
      <c r="N42" t="str">
        <f>IF(ISERROR(VLOOKUP($A42&amp;"-"&amp;N$1,Tabelle1!$H$2:$H$257,1,FALSE)),"","X")</f>
        <v/>
      </c>
      <c r="O42" t="str">
        <f>IF(ISERROR(VLOOKUP($A42&amp;"-"&amp;O$1,Tabelle1!$H$2:$H$257,1,FALSE)),"","X")</f>
        <v/>
      </c>
      <c r="P42" t="str">
        <f>IF(ISERROR(VLOOKUP($A42&amp;"-"&amp;P$1,Tabelle1!$H$2:$H$257,1,FALSE)),"","X")</f>
        <v/>
      </c>
    </row>
    <row r="43" spans="1:16">
      <c r="A43" s="1" t="s">
        <v>57</v>
      </c>
      <c r="B43" s="2" t="str">
        <f>VLOOKUP(A43,Tabelle1!$E$2:$G$257,3,FALSE)</f>
        <v>regulär</v>
      </c>
      <c r="C43" t="str">
        <f>IF(ISERROR(VLOOKUP($A43&amp;"-"&amp;C$1,Tabelle1!$H$2:$H$257,1,FALSE)),"","X")</f>
        <v/>
      </c>
      <c r="D43" t="str">
        <f>IF(ISERROR(VLOOKUP($A43&amp;"-"&amp;D$1,Tabelle1!$H$2:$H$257,1,FALSE)),"","X")</f>
        <v/>
      </c>
      <c r="E43" t="str">
        <f>IF(ISERROR(VLOOKUP($A43&amp;"-"&amp;E$1,Tabelle1!$H$2:$H$257,1,FALSE)),"","X")</f>
        <v>X</v>
      </c>
      <c r="F43" t="str">
        <f>IF(ISERROR(VLOOKUP($A43&amp;"-"&amp;F$1,Tabelle1!$H$2:$H$257,1,FALSE)),"","X")</f>
        <v/>
      </c>
      <c r="G43" t="str">
        <f>IF(ISERROR(VLOOKUP($A43&amp;"-"&amp;G$1,Tabelle1!$H$2:$H$257,1,FALSE)),"","X")</f>
        <v>X</v>
      </c>
      <c r="H43" t="str">
        <f>IF(ISERROR(VLOOKUP($A43&amp;"-"&amp;H$1,Tabelle1!$H$2:$H$257,1,FALSE)),"","X")</f>
        <v/>
      </c>
      <c r="I43" t="str">
        <f>IF(ISERROR(VLOOKUP($A43&amp;"-"&amp;I$1,Tabelle1!$H$2:$H$257,1,FALSE)),"","X")</f>
        <v/>
      </c>
      <c r="J43" t="str">
        <f>IF(ISERROR(VLOOKUP($A43&amp;"-"&amp;J$1,Tabelle1!$H$2:$H$257,1,FALSE)),"","X")</f>
        <v/>
      </c>
      <c r="K43" t="str">
        <f>IF(ISERROR(VLOOKUP($A43&amp;"-"&amp;K$1,Tabelle1!$H$2:$H$257,1,FALSE)),"","X")</f>
        <v/>
      </c>
      <c r="L43" t="str">
        <f>IF(ISERROR(VLOOKUP($A43&amp;"-"&amp;L$1,Tabelle1!$H$2:$H$257,1,FALSE)),"","X")</f>
        <v/>
      </c>
      <c r="M43" t="str">
        <f>IF(ISERROR(VLOOKUP($A43&amp;"-"&amp;M$1,Tabelle1!$H$2:$H$257,1,FALSE)),"","X")</f>
        <v/>
      </c>
      <c r="N43" t="str">
        <f>IF(ISERROR(VLOOKUP($A43&amp;"-"&amp;N$1,Tabelle1!$H$2:$H$257,1,FALSE)),"","X")</f>
        <v/>
      </c>
      <c r="O43" t="str">
        <f>IF(ISERROR(VLOOKUP($A43&amp;"-"&amp;O$1,Tabelle1!$H$2:$H$257,1,FALSE)),"","X")</f>
        <v/>
      </c>
      <c r="P43" t="str">
        <f>IF(ISERROR(VLOOKUP($A43&amp;"-"&amp;P$1,Tabelle1!$H$2:$H$257,1,FALSE)),"","X")</f>
        <v>X</v>
      </c>
    </row>
    <row r="44" spans="1:16">
      <c r="A44" s="1" t="s">
        <v>58</v>
      </c>
      <c r="B44" s="2" t="str">
        <f>VLOOKUP(A44,Tabelle1!$E$2:$G$257,3,FALSE)</f>
        <v>regulär</v>
      </c>
      <c r="C44" t="str">
        <f>IF(ISERROR(VLOOKUP($A44&amp;"-"&amp;C$1,Tabelle1!$H$2:$H$257,1,FALSE)),"","X")</f>
        <v>X</v>
      </c>
      <c r="D44" t="str">
        <f>IF(ISERROR(VLOOKUP($A44&amp;"-"&amp;D$1,Tabelle1!$H$2:$H$257,1,FALSE)),"","X")</f>
        <v/>
      </c>
      <c r="E44" t="str">
        <f>IF(ISERROR(VLOOKUP($A44&amp;"-"&amp;E$1,Tabelle1!$H$2:$H$257,1,FALSE)),"","X")</f>
        <v/>
      </c>
      <c r="F44" t="str">
        <f>IF(ISERROR(VLOOKUP($A44&amp;"-"&amp;F$1,Tabelle1!$H$2:$H$257,1,FALSE)),"","X")</f>
        <v/>
      </c>
      <c r="G44" t="str">
        <f>IF(ISERROR(VLOOKUP($A44&amp;"-"&amp;G$1,Tabelle1!$H$2:$H$257,1,FALSE)),"","X")</f>
        <v/>
      </c>
      <c r="H44" t="str">
        <f>IF(ISERROR(VLOOKUP($A44&amp;"-"&amp;H$1,Tabelle1!$H$2:$H$257,1,FALSE)),"","X")</f>
        <v/>
      </c>
      <c r="I44" t="str">
        <f>IF(ISERROR(VLOOKUP($A44&amp;"-"&amp;I$1,Tabelle1!$H$2:$H$257,1,FALSE)),"","X")</f>
        <v/>
      </c>
      <c r="J44" t="str">
        <f>IF(ISERROR(VLOOKUP($A44&amp;"-"&amp;J$1,Tabelle1!$H$2:$H$257,1,FALSE)),"","X")</f>
        <v/>
      </c>
      <c r="K44" t="str">
        <f>IF(ISERROR(VLOOKUP($A44&amp;"-"&amp;K$1,Tabelle1!$H$2:$H$257,1,FALSE)),"","X")</f>
        <v/>
      </c>
      <c r="L44" t="str">
        <f>IF(ISERROR(VLOOKUP($A44&amp;"-"&amp;L$1,Tabelle1!$H$2:$H$257,1,FALSE)),"","X")</f>
        <v/>
      </c>
      <c r="M44" t="str">
        <f>IF(ISERROR(VLOOKUP($A44&amp;"-"&amp;M$1,Tabelle1!$H$2:$H$257,1,FALSE)),"","X")</f>
        <v/>
      </c>
      <c r="N44" t="str">
        <f>IF(ISERROR(VLOOKUP($A44&amp;"-"&amp;N$1,Tabelle1!$H$2:$H$257,1,FALSE)),"","X")</f>
        <v/>
      </c>
      <c r="O44" t="str">
        <f>IF(ISERROR(VLOOKUP($A44&amp;"-"&amp;O$1,Tabelle1!$H$2:$H$257,1,FALSE)),"","X")</f>
        <v/>
      </c>
      <c r="P44" t="str">
        <f>IF(ISERROR(VLOOKUP($A44&amp;"-"&amp;P$1,Tabelle1!$H$2:$H$257,1,FALSE)),"","X")</f>
        <v/>
      </c>
    </row>
    <row r="45" spans="1:16">
      <c r="A45" s="1" t="s">
        <v>59</v>
      </c>
      <c r="B45" s="2" t="str">
        <f>VLOOKUP(A45,Tabelle1!$E$2:$G$257,3,FALSE)</f>
        <v>regulär</v>
      </c>
      <c r="C45" t="str">
        <f>IF(ISERROR(VLOOKUP($A45&amp;"-"&amp;C$1,Tabelle1!$H$2:$H$257,1,FALSE)),"","X")</f>
        <v>X</v>
      </c>
      <c r="D45" t="str">
        <f>IF(ISERROR(VLOOKUP($A45&amp;"-"&amp;D$1,Tabelle1!$H$2:$H$257,1,FALSE)),"","X")</f>
        <v/>
      </c>
      <c r="E45" t="str">
        <f>IF(ISERROR(VLOOKUP($A45&amp;"-"&amp;E$1,Tabelle1!$H$2:$H$257,1,FALSE)),"","X")</f>
        <v/>
      </c>
      <c r="F45" t="str">
        <f>IF(ISERROR(VLOOKUP($A45&amp;"-"&amp;F$1,Tabelle1!$H$2:$H$257,1,FALSE)),"","X")</f>
        <v/>
      </c>
      <c r="G45" t="str">
        <f>IF(ISERROR(VLOOKUP($A45&amp;"-"&amp;G$1,Tabelle1!$H$2:$H$257,1,FALSE)),"","X")</f>
        <v/>
      </c>
      <c r="H45" t="str">
        <f>IF(ISERROR(VLOOKUP($A45&amp;"-"&amp;H$1,Tabelle1!$H$2:$H$257,1,FALSE)),"","X")</f>
        <v/>
      </c>
      <c r="I45" t="str">
        <f>IF(ISERROR(VLOOKUP($A45&amp;"-"&amp;I$1,Tabelle1!$H$2:$H$257,1,FALSE)),"","X")</f>
        <v/>
      </c>
      <c r="J45" t="str">
        <f>IF(ISERROR(VLOOKUP($A45&amp;"-"&amp;J$1,Tabelle1!$H$2:$H$257,1,FALSE)),"","X")</f>
        <v/>
      </c>
      <c r="K45" t="str">
        <f>IF(ISERROR(VLOOKUP($A45&amp;"-"&amp;K$1,Tabelle1!$H$2:$H$257,1,FALSE)),"","X")</f>
        <v/>
      </c>
      <c r="L45" t="str">
        <f>IF(ISERROR(VLOOKUP($A45&amp;"-"&amp;L$1,Tabelle1!$H$2:$H$257,1,FALSE)),"","X")</f>
        <v/>
      </c>
      <c r="M45" t="str">
        <f>IF(ISERROR(VLOOKUP($A45&amp;"-"&amp;M$1,Tabelle1!$H$2:$H$257,1,FALSE)),"","X")</f>
        <v/>
      </c>
      <c r="N45" t="str">
        <f>IF(ISERROR(VLOOKUP($A45&amp;"-"&amp;N$1,Tabelle1!$H$2:$H$257,1,FALSE)),"","X")</f>
        <v/>
      </c>
      <c r="O45" t="str">
        <f>IF(ISERROR(VLOOKUP($A45&amp;"-"&amp;O$1,Tabelle1!$H$2:$H$257,1,FALSE)),"","X")</f>
        <v/>
      </c>
      <c r="P45" t="str">
        <f>IF(ISERROR(VLOOKUP($A45&amp;"-"&amp;P$1,Tabelle1!$H$2:$H$257,1,FALSE)),"","X")</f>
        <v/>
      </c>
    </row>
    <row r="46" spans="1:16">
      <c r="A46" s="1" t="s">
        <v>60</v>
      </c>
      <c r="B46" s="2" t="str">
        <f>VLOOKUP(A46,Tabelle1!$E$2:$G$257,3,FALSE)</f>
        <v>regulär</v>
      </c>
      <c r="C46" t="str">
        <f>IF(ISERROR(VLOOKUP($A46&amp;"-"&amp;C$1,Tabelle1!$H$2:$H$257,1,FALSE)),"","X")</f>
        <v/>
      </c>
      <c r="D46" t="str">
        <f>IF(ISERROR(VLOOKUP($A46&amp;"-"&amp;D$1,Tabelle1!$H$2:$H$257,1,FALSE)),"","X")</f>
        <v/>
      </c>
      <c r="E46" t="str">
        <f>IF(ISERROR(VLOOKUP($A46&amp;"-"&amp;E$1,Tabelle1!$H$2:$H$257,1,FALSE)),"","X")</f>
        <v/>
      </c>
      <c r="F46" t="str">
        <f>IF(ISERROR(VLOOKUP($A46&amp;"-"&amp;F$1,Tabelle1!$H$2:$H$257,1,FALSE)),"","X")</f>
        <v/>
      </c>
      <c r="G46" t="str">
        <f>IF(ISERROR(VLOOKUP($A46&amp;"-"&amp;G$1,Tabelle1!$H$2:$H$257,1,FALSE)),"","X")</f>
        <v/>
      </c>
      <c r="H46" t="str">
        <f>IF(ISERROR(VLOOKUP($A46&amp;"-"&amp;H$1,Tabelle1!$H$2:$H$257,1,FALSE)),"","X")</f>
        <v>X</v>
      </c>
      <c r="I46" t="str">
        <f>IF(ISERROR(VLOOKUP($A46&amp;"-"&amp;I$1,Tabelle1!$H$2:$H$257,1,FALSE)),"","X")</f>
        <v/>
      </c>
      <c r="J46" t="str">
        <f>IF(ISERROR(VLOOKUP($A46&amp;"-"&amp;J$1,Tabelle1!$H$2:$H$257,1,FALSE)),"","X")</f>
        <v/>
      </c>
      <c r="K46" t="str">
        <f>IF(ISERROR(VLOOKUP($A46&amp;"-"&amp;K$1,Tabelle1!$H$2:$H$257,1,FALSE)),"","X")</f>
        <v/>
      </c>
      <c r="L46" t="str">
        <f>IF(ISERROR(VLOOKUP($A46&amp;"-"&amp;L$1,Tabelle1!$H$2:$H$257,1,FALSE)),"","X")</f>
        <v/>
      </c>
      <c r="M46" t="str">
        <f>IF(ISERROR(VLOOKUP($A46&amp;"-"&amp;M$1,Tabelle1!$H$2:$H$257,1,FALSE)),"","X")</f>
        <v/>
      </c>
      <c r="N46" t="str">
        <f>IF(ISERROR(VLOOKUP($A46&amp;"-"&amp;N$1,Tabelle1!$H$2:$H$257,1,FALSE)),"","X")</f>
        <v/>
      </c>
      <c r="O46" t="str">
        <f>IF(ISERROR(VLOOKUP($A46&amp;"-"&amp;O$1,Tabelle1!$H$2:$H$257,1,FALSE)),"","X")</f>
        <v/>
      </c>
      <c r="P46" t="str">
        <f>IF(ISERROR(VLOOKUP($A46&amp;"-"&amp;P$1,Tabelle1!$H$2:$H$257,1,FALSE)),"","X")</f>
        <v/>
      </c>
    </row>
    <row r="47" spans="1:16">
      <c r="A47" s="1" t="s">
        <v>62</v>
      </c>
      <c r="B47" s="2" t="str">
        <f>VLOOKUP(A47,Tabelle1!$E$2:$G$257,3,FALSE)</f>
        <v>regulär</v>
      </c>
      <c r="C47" t="str">
        <f>IF(ISERROR(VLOOKUP($A47&amp;"-"&amp;C$1,Tabelle1!$H$2:$H$257,1,FALSE)),"","X")</f>
        <v>X</v>
      </c>
      <c r="D47" t="str">
        <f>IF(ISERROR(VLOOKUP($A47&amp;"-"&amp;D$1,Tabelle1!$H$2:$H$257,1,FALSE)),"","X")</f>
        <v/>
      </c>
      <c r="E47" t="str">
        <f>IF(ISERROR(VLOOKUP($A47&amp;"-"&amp;E$1,Tabelle1!$H$2:$H$257,1,FALSE)),"","X")</f>
        <v/>
      </c>
      <c r="F47" t="str">
        <f>IF(ISERROR(VLOOKUP($A47&amp;"-"&amp;F$1,Tabelle1!$H$2:$H$257,1,FALSE)),"","X")</f>
        <v/>
      </c>
      <c r="G47" t="str">
        <f>IF(ISERROR(VLOOKUP($A47&amp;"-"&amp;G$1,Tabelle1!$H$2:$H$257,1,FALSE)),"","X")</f>
        <v/>
      </c>
      <c r="H47" t="str">
        <f>IF(ISERROR(VLOOKUP($A47&amp;"-"&amp;H$1,Tabelle1!$H$2:$H$257,1,FALSE)),"","X")</f>
        <v/>
      </c>
      <c r="I47" t="str">
        <f>IF(ISERROR(VLOOKUP($A47&amp;"-"&amp;I$1,Tabelle1!$H$2:$H$257,1,FALSE)),"","X")</f>
        <v/>
      </c>
      <c r="J47" t="str">
        <f>IF(ISERROR(VLOOKUP($A47&amp;"-"&amp;J$1,Tabelle1!$H$2:$H$257,1,FALSE)),"","X")</f>
        <v/>
      </c>
      <c r="K47" t="str">
        <f>IF(ISERROR(VLOOKUP($A47&amp;"-"&amp;K$1,Tabelle1!$H$2:$H$257,1,FALSE)),"","X")</f>
        <v/>
      </c>
      <c r="L47" t="str">
        <f>IF(ISERROR(VLOOKUP($A47&amp;"-"&amp;L$1,Tabelle1!$H$2:$H$257,1,FALSE)),"","X")</f>
        <v/>
      </c>
      <c r="M47" t="str">
        <f>IF(ISERROR(VLOOKUP($A47&amp;"-"&amp;M$1,Tabelle1!$H$2:$H$257,1,FALSE)),"","X")</f>
        <v/>
      </c>
      <c r="N47" t="str">
        <f>IF(ISERROR(VLOOKUP($A47&amp;"-"&amp;N$1,Tabelle1!$H$2:$H$257,1,FALSE)),"","X")</f>
        <v/>
      </c>
      <c r="O47" t="str">
        <f>IF(ISERROR(VLOOKUP($A47&amp;"-"&amp;O$1,Tabelle1!$H$2:$H$257,1,FALSE)),"","X")</f>
        <v/>
      </c>
      <c r="P47" t="str">
        <f>IF(ISERROR(VLOOKUP($A47&amp;"-"&amp;P$1,Tabelle1!$H$2:$H$257,1,FALSE)),"","X")</f>
        <v/>
      </c>
    </row>
    <row r="48" spans="1:16">
      <c r="A48" s="1" t="s">
        <v>63</v>
      </c>
      <c r="B48" s="2" t="str">
        <f>VLOOKUP(A48,Tabelle1!$E$2:$G$257,3,FALSE)</f>
        <v>regulär</v>
      </c>
      <c r="C48" t="str">
        <f>IF(ISERROR(VLOOKUP($A48&amp;"-"&amp;C$1,Tabelle1!$H$2:$H$257,1,FALSE)),"","X")</f>
        <v>X</v>
      </c>
      <c r="D48" t="str">
        <f>IF(ISERROR(VLOOKUP($A48&amp;"-"&amp;D$1,Tabelle1!$H$2:$H$257,1,FALSE)),"","X")</f>
        <v/>
      </c>
      <c r="E48" t="str">
        <f>IF(ISERROR(VLOOKUP($A48&amp;"-"&amp;E$1,Tabelle1!$H$2:$H$257,1,FALSE)),"","X")</f>
        <v/>
      </c>
      <c r="F48" t="str">
        <f>IF(ISERROR(VLOOKUP($A48&amp;"-"&amp;F$1,Tabelle1!$H$2:$H$257,1,FALSE)),"","X")</f>
        <v/>
      </c>
      <c r="G48" t="str">
        <f>IF(ISERROR(VLOOKUP($A48&amp;"-"&amp;G$1,Tabelle1!$H$2:$H$257,1,FALSE)),"","X")</f>
        <v/>
      </c>
      <c r="H48" t="str">
        <f>IF(ISERROR(VLOOKUP($A48&amp;"-"&amp;H$1,Tabelle1!$H$2:$H$257,1,FALSE)),"","X")</f>
        <v/>
      </c>
      <c r="I48" t="str">
        <f>IF(ISERROR(VLOOKUP($A48&amp;"-"&amp;I$1,Tabelle1!$H$2:$H$257,1,FALSE)),"","X")</f>
        <v/>
      </c>
      <c r="J48" t="str">
        <f>IF(ISERROR(VLOOKUP($A48&amp;"-"&amp;J$1,Tabelle1!$H$2:$H$257,1,FALSE)),"","X")</f>
        <v/>
      </c>
      <c r="K48" t="str">
        <f>IF(ISERROR(VLOOKUP($A48&amp;"-"&amp;K$1,Tabelle1!$H$2:$H$257,1,FALSE)),"","X")</f>
        <v/>
      </c>
      <c r="L48" t="str">
        <f>IF(ISERROR(VLOOKUP($A48&amp;"-"&amp;L$1,Tabelle1!$H$2:$H$257,1,FALSE)),"","X")</f>
        <v/>
      </c>
      <c r="M48" t="str">
        <f>IF(ISERROR(VLOOKUP($A48&amp;"-"&amp;M$1,Tabelle1!$H$2:$H$257,1,FALSE)),"","X")</f>
        <v/>
      </c>
      <c r="N48" t="str">
        <f>IF(ISERROR(VLOOKUP($A48&amp;"-"&amp;N$1,Tabelle1!$H$2:$H$257,1,FALSE)),"","X")</f>
        <v/>
      </c>
      <c r="O48" t="str">
        <f>IF(ISERROR(VLOOKUP($A48&amp;"-"&amp;O$1,Tabelle1!$H$2:$H$257,1,FALSE)),"","X")</f>
        <v/>
      </c>
      <c r="P48" t="str">
        <f>IF(ISERROR(VLOOKUP($A48&amp;"-"&amp;P$1,Tabelle1!$H$2:$H$257,1,FALSE)),"","X")</f>
        <v/>
      </c>
    </row>
    <row r="49" spans="1:16">
      <c r="A49" s="1" t="s">
        <v>64</v>
      </c>
      <c r="B49" s="2" t="str">
        <f>VLOOKUP(A49,Tabelle1!$E$2:$G$257,3,FALSE)</f>
        <v>regulär</v>
      </c>
      <c r="C49" t="str">
        <f>IF(ISERROR(VLOOKUP($A49&amp;"-"&amp;C$1,Tabelle1!$H$2:$H$257,1,FALSE)),"","X")</f>
        <v/>
      </c>
      <c r="D49" t="str">
        <f>IF(ISERROR(VLOOKUP($A49&amp;"-"&amp;D$1,Tabelle1!$H$2:$H$257,1,FALSE)),"","X")</f>
        <v/>
      </c>
      <c r="E49" t="str">
        <f>IF(ISERROR(VLOOKUP($A49&amp;"-"&amp;E$1,Tabelle1!$H$2:$H$257,1,FALSE)),"","X")</f>
        <v>X</v>
      </c>
      <c r="F49" t="str">
        <f>IF(ISERROR(VLOOKUP($A49&amp;"-"&amp;F$1,Tabelle1!$H$2:$H$257,1,FALSE)),"","X")</f>
        <v>X</v>
      </c>
      <c r="G49" t="str">
        <f>IF(ISERROR(VLOOKUP($A49&amp;"-"&amp;G$1,Tabelle1!$H$2:$H$257,1,FALSE)),"","X")</f>
        <v>X</v>
      </c>
      <c r="H49" t="str">
        <f>IF(ISERROR(VLOOKUP($A49&amp;"-"&amp;H$1,Tabelle1!$H$2:$H$257,1,FALSE)),"","X")</f>
        <v/>
      </c>
      <c r="I49" t="str">
        <f>IF(ISERROR(VLOOKUP($A49&amp;"-"&amp;I$1,Tabelle1!$H$2:$H$257,1,FALSE)),"","X")</f>
        <v/>
      </c>
      <c r="J49" t="str">
        <f>IF(ISERROR(VLOOKUP($A49&amp;"-"&amp;J$1,Tabelle1!$H$2:$H$257,1,FALSE)),"","X")</f>
        <v/>
      </c>
      <c r="K49" t="str">
        <f>IF(ISERROR(VLOOKUP($A49&amp;"-"&amp;K$1,Tabelle1!$H$2:$H$257,1,FALSE)),"","X")</f>
        <v>X</v>
      </c>
      <c r="L49" t="str">
        <f>IF(ISERROR(VLOOKUP($A49&amp;"-"&amp;L$1,Tabelle1!$H$2:$H$257,1,FALSE)),"","X")</f>
        <v/>
      </c>
      <c r="M49" t="str">
        <f>IF(ISERROR(VLOOKUP($A49&amp;"-"&amp;M$1,Tabelle1!$H$2:$H$257,1,FALSE)),"","X")</f>
        <v>X</v>
      </c>
      <c r="N49" t="str">
        <f>IF(ISERROR(VLOOKUP($A49&amp;"-"&amp;N$1,Tabelle1!$H$2:$H$257,1,FALSE)),"","X")</f>
        <v/>
      </c>
      <c r="O49" t="str">
        <f>IF(ISERROR(VLOOKUP($A49&amp;"-"&amp;O$1,Tabelle1!$H$2:$H$257,1,FALSE)),"","X")</f>
        <v/>
      </c>
      <c r="P49" t="str">
        <f>IF(ISERROR(VLOOKUP($A49&amp;"-"&amp;P$1,Tabelle1!$H$2:$H$257,1,FALSE)),"","X")</f>
        <v/>
      </c>
    </row>
    <row r="50" spans="1:16">
      <c r="A50" s="1" t="s">
        <v>65</v>
      </c>
      <c r="B50" s="2" t="str">
        <f>VLOOKUP(A50,Tabelle1!$E$2:$G$257,3,FALSE)</f>
        <v>regulär</v>
      </c>
      <c r="C50" t="str">
        <f>IF(ISERROR(VLOOKUP($A50&amp;"-"&amp;C$1,Tabelle1!$H$2:$H$257,1,FALSE)),"","X")</f>
        <v/>
      </c>
      <c r="D50" t="str">
        <f>IF(ISERROR(VLOOKUP($A50&amp;"-"&amp;D$1,Tabelle1!$H$2:$H$257,1,FALSE)),"","X")</f>
        <v>X</v>
      </c>
      <c r="E50" t="str">
        <f>IF(ISERROR(VLOOKUP($A50&amp;"-"&amp;E$1,Tabelle1!$H$2:$H$257,1,FALSE)),"","X")</f>
        <v>X</v>
      </c>
      <c r="F50" t="str">
        <f>IF(ISERROR(VLOOKUP($A50&amp;"-"&amp;F$1,Tabelle1!$H$2:$H$257,1,FALSE)),"","X")</f>
        <v>X</v>
      </c>
      <c r="G50" t="str">
        <f>IF(ISERROR(VLOOKUP($A50&amp;"-"&amp;G$1,Tabelle1!$H$2:$H$257,1,FALSE)),"","X")</f>
        <v>X</v>
      </c>
      <c r="H50" t="str">
        <f>IF(ISERROR(VLOOKUP($A50&amp;"-"&amp;H$1,Tabelle1!$H$2:$H$257,1,FALSE)),"","X")</f>
        <v/>
      </c>
      <c r="I50" t="str">
        <f>IF(ISERROR(VLOOKUP($A50&amp;"-"&amp;I$1,Tabelle1!$H$2:$H$257,1,FALSE)),"","X")</f>
        <v>X</v>
      </c>
      <c r="J50" t="str">
        <f>IF(ISERROR(VLOOKUP($A50&amp;"-"&amp;J$1,Tabelle1!$H$2:$H$257,1,FALSE)),"","X")</f>
        <v>X</v>
      </c>
      <c r="K50" t="str">
        <f>IF(ISERROR(VLOOKUP($A50&amp;"-"&amp;K$1,Tabelle1!$H$2:$H$257,1,FALSE)),"","X")</f>
        <v>X</v>
      </c>
      <c r="L50" t="str">
        <f>IF(ISERROR(VLOOKUP($A50&amp;"-"&amp;L$1,Tabelle1!$H$2:$H$257,1,FALSE)),"","X")</f>
        <v>X</v>
      </c>
      <c r="M50" t="str">
        <f>IF(ISERROR(VLOOKUP($A50&amp;"-"&amp;M$1,Tabelle1!$H$2:$H$257,1,FALSE)),"","X")</f>
        <v>X</v>
      </c>
      <c r="N50" t="str">
        <f>IF(ISERROR(VLOOKUP($A50&amp;"-"&amp;N$1,Tabelle1!$H$2:$H$257,1,FALSE)),"","X")</f>
        <v/>
      </c>
      <c r="O50" t="str">
        <f>IF(ISERROR(VLOOKUP($A50&amp;"-"&amp;O$1,Tabelle1!$H$2:$H$257,1,FALSE)),"","X")</f>
        <v/>
      </c>
      <c r="P50" t="str">
        <f>IF(ISERROR(VLOOKUP($A50&amp;"-"&amp;P$1,Tabelle1!$H$2:$H$257,1,FALSE)),"","X")</f>
        <v/>
      </c>
    </row>
    <row r="51" spans="1:16">
      <c r="A51" s="1" t="s">
        <v>66</v>
      </c>
      <c r="B51" s="2" t="str">
        <f>VLOOKUP(A51,Tabelle1!$E$2:$G$257,3,FALSE)</f>
        <v>regulär</v>
      </c>
      <c r="C51" t="str">
        <f>IF(ISERROR(VLOOKUP($A51&amp;"-"&amp;C$1,Tabelle1!$H$2:$H$257,1,FALSE)),"","X")</f>
        <v/>
      </c>
      <c r="D51" t="str">
        <f>IF(ISERROR(VLOOKUP($A51&amp;"-"&amp;D$1,Tabelle1!$H$2:$H$257,1,FALSE)),"","X")</f>
        <v/>
      </c>
      <c r="E51" t="str">
        <f>IF(ISERROR(VLOOKUP($A51&amp;"-"&amp;E$1,Tabelle1!$H$2:$H$257,1,FALSE)),"","X")</f>
        <v>X</v>
      </c>
      <c r="F51" t="str">
        <f>IF(ISERROR(VLOOKUP($A51&amp;"-"&amp;F$1,Tabelle1!$H$2:$H$257,1,FALSE)),"","X")</f>
        <v>X</v>
      </c>
      <c r="G51" t="str">
        <f>IF(ISERROR(VLOOKUP($A51&amp;"-"&amp;G$1,Tabelle1!$H$2:$H$257,1,FALSE)),"","X")</f>
        <v>X</v>
      </c>
      <c r="H51" t="str">
        <f>IF(ISERROR(VLOOKUP($A51&amp;"-"&amp;H$1,Tabelle1!$H$2:$H$257,1,FALSE)),"","X")</f>
        <v/>
      </c>
      <c r="I51" t="str">
        <f>IF(ISERROR(VLOOKUP($A51&amp;"-"&amp;I$1,Tabelle1!$H$2:$H$257,1,FALSE)),"","X")</f>
        <v/>
      </c>
      <c r="J51" t="str">
        <f>IF(ISERROR(VLOOKUP($A51&amp;"-"&amp;J$1,Tabelle1!$H$2:$H$257,1,FALSE)),"","X")</f>
        <v/>
      </c>
      <c r="K51" t="str">
        <f>IF(ISERROR(VLOOKUP($A51&amp;"-"&amp;K$1,Tabelle1!$H$2:$H$257,1,FALSE)),"","X")</f>
        <v/>
      </c>
      <c r="L51" t="str">
        <f>IF(ISERROR(VLOOKUP($A51&amp;"-"&amp;L$1,Tabelle1!$H$2:$H$257,1,FALSE)),"","X")</f>
        <v>X</v>
      </c>
      <c r="M51" t="str">
        <f>IF(ISERROR(VLOOKUP($A51&amp;"-"&amp;M$1,Tabelle1!$H$2:$H$257,1,FALSE)),"","X")</f>
        <v/>
      </c>
      <c r="N51" t="str">
        <f>IF(ISERROR(VLOOKUP($A51&amp;"-"&amp;N$1,Tabelle1!$H$2:$H$257,1,FALSE)),"","X")</f>
        <v/>
      </c>
      <c r="O51" t="str">
        <f>IF(ISERROR(VLOOKUP($A51&amp;"-"&amp;O$1,Tabelle1!$H$2:$H$257,1,FALSE)),"","X")</f>
        <v/>
      </c>
      <c r="P51" t="str">
        <f>IF(ISERROR(VLOOKUP($A51&amp;"-"&amp;P$1,Tabelle1!$H$2:$H$257,1,FALSE)),"","X")</f>
        <v>X</v>
      </c>
    </row>
    <row r="52" spans="1:16">
      <c r="A52" s="1" t="s">
        <v>67</v>
      </c>
      <c r="B52" s="2" t="str">
        <f>VLOOKUP(A52,Tabelle1!$E$2:$G$257,3,FALSE)</f>
        <v>regulär</v>
      </c>
      <c r="C52" t="str">
        <f>IF(ISERROR(VLOOKUP($A52&amp;"-"&amp;C$1,Tabelle1!$H$2:$H$257,1,FALSE)),"","X")</f>
        <v>X</v>
      </c>
      <c r="D52" t="str">
        <f>IF(ISERROR(VLOOKUP($A52&amp;"-"&amp;D$1,Tabelle1!$H$2:$H$257,1,FALSE)),"","X")</f>
        <v/>
      </c>
      <c r="E52" t="str">
        <f>IF(ISERROR(VLOOKUP($A52&amp;"-"&amp;E$1,Tabelle1!$H$2:$H$257,1,FALSE)),"","X")</f>
        <v/>
      </c>
      <c r="F52" t="str">
        <f>IF(ISERROR(VLOOKUP($A52&amp;"-"&amp;F$1,Tabelle1!$H$2:$H$257,1,FALSE)),"","X")</f>
        <v/>
      </c>
      <c r="G52" t="str">
        <f>IF(ISERROR(VLOOKUP($A52&amp;"-"&amp;G$1,Tabelle1!$H$2:$H$257,1,FALSE)),"","X")</f>
        <v/>
      </c>
      <c r="H52" t="str">
        <f>IF(ISERROR(VLOOKUP($A52&amp;"-"&amp;H$1,Tabelle1!$H$2:$H$257,1,FALSE)),"","X")</f>
        <v/>
      </c>
      <c r="I52" t="str">
        <f>IF(ISERROR(VLOOKUP($A52&amp;"-"&amp;I$1,Tabelle1!$H$2:$H$257,1,FALSE)),"","X")</f>
        <v/>
      </c>
      <c r="J52" t="str">
        <f>IF(ISERROR(VLOOKUP($A52&amp;"-"&amp;J$1,Tabelle1!$H$2:$H$257,1,FALSE)),"","X")</f>
        <v/>
      </c>
      <c r="K52" t="str">
        <f>IF(ISERROR(VLOOKUP($A52&amp;"-"&amp;K$1,Tabelle1!$H$2:$H$257,1,FALSE)),"","X")</f>
        <v/>
      </c>
      <c r="L52" t="str">
        <f>IF(ISERROR(VLOOKUP($A52&amp;"-"&amp;L$1,Tabelle1!$H$2:$H$257,1,FALSE)),"","X")</f>
        <v/>
      </c>
      <c r="M52" t="str">
        <f>IF(ISERROR(VLOOKUP($A52&amp;"-"&amp;M$1,Tabelle1!$H$2:$H$257,1,FALSE)),"","X")</f>
        <v/>
      </c>
      <c r="N52" t="str">
        <f>IF(ISERROR(VLOOKUP($A52&amp;"-"&amp;N$1,Tabelle1!$H$2:$H$257,1,FALSE)),"","X")</f>
        <v/>
      </c>
      <c r="O52" t="str">
        <f>IF(ISERROR(VLOOKUP($A52&amp;"-"&amp;O$1,Tabelle1!$H$2:$H$257,1,FALSE)),"","X")</f>
        <v/>
      </c>
      <c r="P52" t="str">
        <f>IF(ISERROR(VLOOKUP($A52&amp;"-"&amp;P$1,Tabelle1!$H$2:$H$257,1,FALSE)),"","X")</f>
        <v/>
      </c>
    </row>
    <row r="53" spans="1:16">
      <c r="A53" s="1" t="s">
        <v>68</v>
      </c>
      <c r="B53" s="2" t="str">
        <f>VLOOKUP(A53,Tabelle1!$E$2:$G$257,3,FALSE)</f>
        <v>regulär</v>
      </c>
      <c r="C53" t="str">
        <f>IF(ISERROR(VLOOKUP($A53&amp;"-"&amp;C$1,Tabelle1!$H$2:$H$257,1,FALSE)),"","X")</f>
        <v>X</v>
      </c>
      <c r="D53" t="str">
        <f>IF(ISERROR(VLOOKUP($A53&amp;"-"&amp;D$1,Tabelle1!$H$2:$H$257,1,FALSE)),"","X")</f>
        <v/>
      </c>
      <c r="E53" t="str">
        <f>IF(ISERROR(VLOOKUP($A53&amp;"-"&amp;E$1,Tabelle1!$H$2:$H$257,1,FALSE)),"","X")</f>
        <v/>
      </c>
      <c r="F53" t="str">
        <f>IF(ISERROR(VLOOKUP($A53&amp;"-"&amp;F$1,Tabelle1!$H$2:$H$257,1,FALSE)),"","X")</f>
        <v/>
      </c>
      <c r="G53" t="str">
        <f>IF(ISERROR(VLOOKUP($A53&amp;"-"&amp;G$1,Tabelle1!$H$2:$H$257,1,FALSE)),"","X")</f>
        <v/>
      </c>
      <c r="H53" t="str">
        <f>IF(ISERROR(VLOOKUP($A53&amp;"-"&amp;H$1,Tabelle1!$H$2:$H$257,1,FALSE)),"","X")</f>
        <v/>
      </c>
      <c r="I53" t="str">
        <f>IF(ISERROR(VLOOKUP($A53&amp;"-"&amp;I$1,Tabelle1!$H$2:$H$257,1,FALSE)),"","X")</f>
        <v/>
      </c>
      <c r="J53" t="str">
        <f>IF(ISERROR(VLOOKUP($A53&amp;"-"&amp;J$1,Tabelle1!$H$2:$H$257,1,FALSE)),"","X")</f>
        <v/>
      </c>
      <c r="K53" t="str">
        <f>IF(ISERROR(VLOOKUP($A53&amp;"-"&amp;K$1,Tabelle1!$H$2:$H$257,1,FALSE)),"","X")</f>
        <v/>
      </c>
      <c r="L53" t="str">
        <f>IF(ISERROR(VLOOKUP($A53&amp;"-"&amp;L$1,Tabelle1!$H$2:$H$257,1,FALSE)),"","X")</f>
        <v/>
      </c>
      <c r="M53" t="str">
        <f>IF(ISERROR(VLOOKUP($A53&amp;"-"&amp;M$1,Tabelle1!$H$2:$H$257,1,FALSE)),"","X")</f>
        <v/>
      </c>
      <c r="N53" t="str">
        <f>IF(ISERROR(VLOOKUP($A53&amp;"-"&amp;N$1,Tabelle1!$H$2:$H$257,1,FALSE)),"","X")</f>
        <v/>
      </c>
      <c r="O53" t="str">
        <f>IF(ISERROR(VLOOKUP($A53&amp;"-"&amp;O$1,Tabelle1!$H$2:$H$257,1,FALSE)),"","X")</f>
        <v/>
      </c>
      <c r="P53" t="str">
        <f>IF(ISERROR(VLOOKUP($A53&amp;"-"&amp;P$1,Tabelle1!$H$2:$H$257,1,FALSE)),"","X")</f>
        <v/>
      </c>
    </row>
    <row r="54" spans="1:16">
      <c r="A54" s="1" t="s">
        <v>69</v>
      </c>
      <c r="B54" s="2" t="str">
        <f>VLOOKUP(A54,Tabelle1!$E$2:$G$257,3,FALSE)</f>
        <v>regulär</v>
      </c>
      <c r="C54" t="str">
        <f>IF(ISERROR(VLOOKUP($A54&amp;"-"&amp;C$1,Tabelle1!$H$2:$H$257,1,FALSE)),"","X")</f>
        <v/>
      </c>
      <c r="D54" t="str">
        <f>IF(ISERROR(VLOOKUP($A54&amp;"-"&amp;D$1,Tabelle1!$H$2:$H$257,1,FALSE)),"","X")</f>
        <v/>
      </c>
      <c r="E54" t="str">
        <f>IF(ISERROR(VLOOKUP($A54&amp;"-"&amp;E$1,Tabelle1!$H$2:$H$257,1,FALSE)),"","X")</f>
        <v/>
      </c>
      <c r="F54" t="str">
        <f>IF(ISERROR(VLOOKUP($A54&amp;"-"&amp;F$1,Tabelle1!$H$2:$H$257,1,FALSE)),"","X")</f>
        <v/>
      </c>
      <c r="G54" t="str">
        <f>IF(ISERROR(VLOOKUP($A54&amp;"-"&amp;G$1,Tabelle1!$H$2:$H$257,1,FALSE)),"","X")</f>
        <v/>
      </c>
      <c r="H54" t="str">
        <f>IF(ISERROR(VLOOKUP($A54&amp;"-"&amp;H$1,Tabelle1!$H$2:$H$257,1,FALSE)),"","X")</f>
        <v>X</v>
      </c>
      <c r="I54" t="str">
        <f>IF(ISERROR(VLOOKUP($A54&amp;"-"&amp;I$1,Tabelle1!$H$2:$H$257,1,FALSE)),"","X")</f>
        <v/>
      </c>
      <c r="J54" t="str">
        <f>IF(ISERROR(VLOOKUP($A54&amp;"-"&amp;J$1,Tabelle1!$H$2:$H$257,1,FALSE)),"","X")</f>
        <v/>
      </c>
      <c r="K54" t="str">
        <f>IF(ISERROR(VLOOKUP($A54&amp;"-"&amp;K$1,Tabelle1!$H$2:$H$257,1,FALSE)),"","X")</f>
        <v/>
      </c>
      <c r="L54" t="str">
        <f>IF(ISERROR(VLOOKUP($A54&amp;"-"&amp;L$1,Tabelle1!$H$2:$H$257,1,FALSE)),"","X")</f>
        <v/>
      </c>
      <c r="M54" t="str">
        <f>IF(ISERROR(VLOOKUP($A54&amp;"-"&amp;M$1,Tabelle1!$H$2:$H$257,1,FALSE)),"","X")</f>
        <v/>
      </c>
      <c r="N54" t="str">
        <f>IF(ISERROR(VLOOKUP($A54&amp;"-"&amp;N$1,Tabelle1!$H$2:$H$257,1,FALSE)),"","X")</f>
        <v/>
      </c>
      <c r="O54" t="str">
        <f>IF(ISERROR(VLOOKUP($A54&amp;"-"&amp;O$1,Tabelle1!$H$2:$H$257,1,FALSE)),"","X")</f>
        <v/>
      </c>
      <c r="P54" t="str">
        <f>IF(ISERROR(VLOOKUP($A54&amp;"-"&amp;P$1,Tabelle1!$H$2:$H$257,1,FALSE)),"","X")</f>
        <v/>
      </c>
    </row>
    <row r="55" spans="1:16">
      <c r="A55" s="1" t="s">
        <v>70</v>
      </c>
      <c r="B55" s="2" t="str">
        <f>VLOOKUP(A55,Tabelle1!$E$2:$G$257,3,FALSE)</f>
        <v>regulär</v>
      </c>
      <c r="C55" t="str">
        <f>IF(ISERROR(VLOOKUP($A55&amp;"-"&amp;C$1,Tabelle1!$H$2:$H$257,1,FALSE)),"","X")</f>
        <v>X</v>
      </c>
      <c r="D55" t="str">
        <f>IF(ISERROR(VLOOKUP($A55&amp;"-"&amp;D$1,Tabelle1!$H$2:$H$257,1,FALSE)),"","X")</f>
        <v/>
      </c>
      <c r="E55" t="str">
        <f>IF(ISERROR(VLOOKUP($A55&amp;"-"&amp;E$1,Tabelle1!$H$2:$H$257,1,FALSE)),"","X")</f>
        <v/>
      </c>
      <c r="F55" t="str">
        <f>IF(ISERROR(VLOOKUP($A55&amp;"-"&amp;F$1,Tabelle1!$H$2:$H$257,1,FALSE)),"","X")</f>
        <v/>
      </c>
      <c r="G55" t="str">
        <f>IF(ISERROR(VLOOKUP($A55&amp;"-"&amp;G$1,Tabelle1!$H$2:$H$257,1,FALSE)),"","X")</f>
        <v/>
      </c>
      <c r="H55" t="str">
        <f>IF(ISERROR(VLOOKUP($A55&amp;"-"&amp;H$1,Tabelle1!$H$2:$H$257,1,FALSE)),"","X")</f>
        <v/>
      </c>
      <c r="I55" t="str">
        <f>IF(ISERROR(VLOOKUP($A55&amp;"-"&amp;I$1,Tabelle1!$H$2:$H$257,1,FALSE)),"","X")</f>
        <v/>
      </c>
      <c r="J55" t="str">
        <f>IF(ISERROR(VLOOKUP($A55&amp;"-"&amp;J$1,Tabelle1!$H$2:$H$257,1,FALSE)),"","X")</f>
        <v/>
      </c>
      <c r="K55" t="str">
        <f>IF(ISERROR(VLOOKUP($A55&amp;"-"&amp;K$1,Tabelle1!$H$2:$H$257,1,FALSE)),"","X")</f>
        <v/>
      </c>
      <c r="L55" t="str">
        <f>IF(ISERROR(VLOOKUP($A55&amp;"-"&amp;L$1,Tabelle1!$H$2:$H$257,1,FALSE)),"","X")</f>
        <v/>
      </c>
      <c r="M55" t="str">
        <f>IF(ISERROR(VLOOKUP($A55&amp;"-"&amp;M$1,Tabelle1!$H$2:$H$257,1,FALSE)),"","X")</f>
        <v/>
      </c>
      <c r="N55" t="str">
        <f>IF(ISERROR(VLOOKUP($A55&amp;"-"&amp;N$1,Tabelle1!$H$2:$H$257,1,FALSE)),"","X")</f>
        <v/>
      </c>
      <c r="O55" t="str">
        <f>IF(ISERROR(VLOOKUP($A55&amp;"-"&amp;O$1,Tabelle1!$H$2:$H$257,1,FALSE)),"","X")</f>
        <v/>
      </c>
      <c r="P55" t="str">
        <f>IF(ISERROR(VLOOKUP($A55&amp;"-"&amp;P$1,Tabelle1!$H$2:$H$257,1,FALSE)),"","X")</f>
        <v/>
      </c>
    </row>
    <row r="56" spans="1:16">
      <c r="A56" s="1" t="s">
        <v>71</v>
      </c>
      <c r="B56" s="2" t="str">
        <f>VLOOKUP(A56,Tabelle1!$E$2:$G$257,3,FALSE)</f>
        <v>regulär</v>
      </c>
      <c r="C56" t="str">
        <f>IF(ISERROR(VLOOKUP($A56&amp;"-"&amp;C$1,Tabelle1!$H$2:$H$257,1,FALSE)),"","X")</f>
        <v>X</v>
      </c>
      <c r="D56" t="str">
        <f>IF(ISERROR(VLOOKUP($A56&amp;"-"&amp;D$1,Tabelle1!$H$2:$H$257,1,FALSE)),"","X")</f>
        <v/>
      </c>
      <c r="E56" t="str">
        <f>IF(ISERROR(VLOOKUP($A56&amp;"-"&amp;E$1,Tabelle1!$H$2:$H$257,1,FALSE)),"","X")</f>
        <v/>
      </c>
      <c r="F56" t="str">
        <f>IF(ISERROR(VLOOKUP($A56&amp;"-"&amp;F$1,Tabelle1!$H$2:$H$257,1,FALSE)),"","X")</f>
        <v/>
      </c>
      <c r="G56" t="str">
        <f>IF(ISERROR(VLOOKUP($A56&amp;"-"&amp;G$1,Tabelle1!$H$2:$H$257,1,FALSE)),"","X")</f>
        <v/>
      </c>
      <c r="H56" t="str">
        <f>IF(ISERROR(VLOOKUP($A56&amp;"-"&amp;H$1,Tabelle1!$H$2:$H$257,1,FALSE)),"","X")</f>
        <v/>
      </c>
      <c r="I56" t="str">
        <f>IF(ISERROR(VLOOKUP($A56&amp;"-"&amp;I$1,Tabelle1!$H$2:$H$257,1,FALSE)),"","X")</f>
        <v/>
      </c>
      <c r="J56" t="str">
        <f>IF(ISERROR(VLOOKUP($A56&amp;"-"&amp;J$1,Tabelle1!$H$2:$H$257,1,FALSE)),"","X")</f>
        <v/>
      </c>
      <c r="K56" t="str">
        <f>IF(ISERROR(VLOOKUP($A56&amp;"-"&amp;K$1,Tabelle1!$H$2:$H$257,1,FALSE)),"","X")</f>
        <v/>
      </c>
      <c r="L56" t="str">
        <f>IF(ISERROR(VLOOKUP($A56&amp;"-"&amp;L$1,Tabelle1!$H$2:$H$257,1,FALSE)),"","X")</f>
        <v/>
      </c>
      <c r="M56" t="str">
        <f>IF(ISERROR(VLOOKUP($A56&amp;"-"&amp;M$1,Tabelle1!$H$2:$H$257,1,FALSE)),"","X")</f>
        <v/>
      </c>
      <c r="N56" t="str">
        <f>IF(ISERROR(VLOOKUP($A56&amp;"-"&amp;N$1,Tabelle1!$H$2:$H$257,1,FALSE)),"","X")</f>
        <v/>
      </c>
      <c r="O56" t="str">
        <f>IF(ISERROR(VLOOKUP($A56&amp;"-"&amp;O$1,Tabelle1!$H$2:$H$257,1,FALSE)),"","X")</f>
        <v/>
      </c>
      <c r="P56" t="str">
        <f>IF(ISERROR(VLOOKUP($A56&amp;"-"&amp;P$1,Tabelle1!$H$2:$H$257,1,FALSE)),"","X")</f>
        <v/>
      </c>
    </row>
    <row r="57" spans="1:16">
      <c r="A57" s="1" t="s">
        <v>72</v>
      </c>
      <c r="B57" s="2" t="str">
        <f>VLOOKUP(A57,Tabelle1!$E$2:$G$257,3,FALSE)</f>
        <v>regulär</v>
      </c>
      <c r="C57" t="str">
        <f>IF(ISERROR(VLOOKUP($A57&amp;"-"&amp;C$1,Tabelle1!$H$2:$H$257,1,FALSE)),"","X")</f>
        <v/>
      </c>
      <c r="D57" t="str">
        <f>IF(ISERROR(VLOOKUP($A57&amp;"-"&amp;D$1,Tabelle1!$H$2:$H$257,1,FALSE)),"","X")</f>
        <v/>
      </c>
      <c r="E57" t="str">
        <f>IF(ISERROR(VLOOKUP($A57&amp;"-"&amp;E$1,Tabelle1!$H$2:$H$257,1,FALSE)),"","X")</f>
        <v>X</v>
      </c>
      <c r="F57" t="str">
        <f>IF(ISERROR(VLOOKUP($A57&amp;"-"&amp;F$1,Tabelle1!$H$2:$H$257,1,FALSE)),"","X")</f>
        <v>X</v>
      </c>
      <c r="G57" t="str">
        <f>IF(ISERROR(VLOOKUP($A57&amp;"-"&amp;G$1,Tabelle1!$H$2:$H$257,1,FALSE)),"","X")</f>
        <v>X</v>
      </c>
      <c r="H57" t="str">
        <f>IF(ISERROR(VLOOKUP($A57&amp;"-"&amp;H$1,Tabelle1!$H$2:$H$257,1,FALSE)),"","X")</f>
        <v/>
      </c>
      <c r="I57" t="str">
        <f>IF(ISERROR(VLOOKUP($A57&amp;"-"&amp;I$1,Tabelle1!$H$2:$H$257,1,FALSE)),"","X")</f>
        <v/>
      </c>
      <c r="J57" t="str">
        <f>IF(ISERROR(VLOOKUP($A57&amp;"-"&amp;J$1,Tabelle1!$H$2:$H$257,1,FALSE)),"","X")</f>
        <v/>
      </c>
      <c r="K57" t="str">
        <f>IF(ISERROR(VLOOKUP($A57&amp;"-"&amp;K$1,Tabelle1!$H$2:$H$257,1,FALSE)),"","X")</f>
        <v/>
      </c>
      <c r="L57" t="str">
        <f>IF(ISERROR(VLOOKUP($A57&amp;"-"&amp;L$1,Tabelle1!$H$2:$H$257,1,FALSE)),"","X")</f>
        <v/>
      </c>
      <c r="M57" t="str">
        <f>IF(ISERROR(VLOOKUP($A57&amp;"-"&amp;M$1,Tabelle1!$H$2:$H$257,1,FALSE)),"","X")</f>
        <v/>
      </c>
      <c r="N57" t="str">
        <f>IF(ISERROR(VLOOKUP($A57&amp;"-"&amp;N$1,Tabelle1!$H$2:$H$257,1,FALSE)),"","X")</f>
        <v/>
      </c>
      <c r="O57" t="str">
        <f>IF(ISERROR(VLOOKUP($A57&amp;"-"&amp;O$1,Tabelle1!$H$2:$H$257,1,FALSE)),"","X")</f>
        <v/>
      </c>
      <c r="P57" t="str">
        <f>IF(ISERROR(VLOOKUP($A57&amp;"-"&amp;P$1,Tabelle1!$H$2:$H$257,1,FALSE)),"","X")</f>
        <v/>
      </c>
    </row>
    <row r="58" spans="1:16">
      <c r="A58" s="1" t="s">
        <v>73</v>
      </c>
      <c r="B58" s="2" t="str">
        <f>VLOOKUP(A58,Tabelle1!$E$2:$G$257,3,FALSE)</f>
        <v>regulär</v>
      </c>
      <c r="C58" t="str">
        <f>IF(ISERROR(VLOOKUP($A58&amp;"-"&amp;C$1,Tabelle1!$H$2:$H$257,1,FALSE)),"","X")</f>
        <v/>
      </c>
      <c r="D58" t="str">
        <f>IF(ISERROR(VLOOKUP($A58&amp;"-"&amp;D$1,Tabelle1!$H$2:$H$257,1,FALSE)),"","X")</f>
        <v>X</v>
      </c>
      <c r="E58" t="str">
        <f>IF(ISERROR(VLOOKUP($A58&amp;"-"&amp;E$1,Tabelle1!$H$2:$H$257,1,FALSE)),"","X")</f>
        <v>X</v>
      </c>
      <c r="F58" t="str">
        <f>IF(ISERROR(VLOOKUP($A58&amp;"-"&amp;F$1,Tabelle1!$H$2:$H$257,1,FALSE)),"","X")</f>
        <v>X</v>
      </c>
      <c r="G58" t="str">
        <f>IF(ISERROR(VLOOKUP($A58&amp;"-"&amp;G$1,Tabelle1!$H$2:$H$257,1,FALSE)),"","X")</f>
        <v>X</v>
      </c>
      <c r="H58" t="str">
        <f>IF(ISERROR(VLOOKUP($A58&amp;"-"&amp;H$1,Tabelle1!$H$2:$H$257,1,FALSE)),"","X")</f>
        <v/>
      </c>
      <c r="I58" t="str">
        <f>IF(ISERROR(VLOOKUP($A58&amp;"-"&amp;I$1,Tabelle1!$H$2:$H$257,1,FALSE)),"","X")</f>
        <v>X</v>
      </c>
      <c r="J58" t="str">
        <f>IF(ISERROR(VLOOKUP($A58&amp;"-"&amp;J$1,Tabelle1!$H$2:$H$257,1,FALSE)),"","X")</f>
        <v>X</v>
      </c>
      <c r="K58" t="str">
        <f>IF(ISERROR(VLOOKUP($A58&amp;"-"&amp;K$1,Tabelle1!$H$2:$H$257,1,FALSE)),"","X")</f>
        <v>X</v>
      </c>
      <c r="L58" t="str">
        <f>IF(ISERROR(VLOOKUP($A58&amp;"-"&amp;L$1,Tabelle1!$H$2:$H$257,1,FALSE)),"","X")</f>
        <v>X</v>
      </c>
      <c r="M58" t="str">
        <f>IF(ISERROR(VLOOKUP($A58&amp;"-"&amp;M$1,Tabelle1!$H$2:$H$257,1,FALSE)),"","X")</f>
        <v>X</v>
      </c>
      <c r="N58" t="str">
        <f>IF(ISERROR(VLOOKUP($A58&amp;"-"&amp;N$1,Tabelle1!$H$2:$H$257,1,FALSE)),"","X")</f>
        <v/>
      </c>
      <c r="O58" t="str">
        <f>IF(ISERROR(VLOOKUP($A58&amp;"-"&amp;O$1,Tabelle1!$H$2:$H$257,1,FALSE)),"","X")</f>
        <v/>
      </c>
      <c r="P58" t="str">
        <f>IF(ISERROR(VLOOKUP($A58&amp;"-"&amp;P$1,Tabelle1!$H$2:$H$257,1,FALSE)),"","X")</f>
        <v/>
      </c>
    </row>
    <row r="59" spans="1:16">
      <c r="A59" s="1" t="s">
        <v>74</v>
      </c>
      <c r="B59" s="2" t="str">
        <f>VLOOKUP(A59,Tabelle1!$E$2:$G$257,3,FALSE)</f>
        <v>regulär</v>
      </c>
      <c r="C59" t="str">
        <f>IF(ISERROR(VLOOKUP($A59&amp;"-"&amp;C$1,Tabelle1!$H$2:$H$257,1,FALSE)),"","X")</f>
        <v/>
      </c>
      <c r="D59" t="str">
        <f>IF(ISERROR(VLOOKUP($A59&amp;"-"&amp;D$1,Tabelle1!$H$2:$H$257,1,FALSE)),"","X")</f>
        <v/>
      </c>
      <c r="E59" t="str">
        <f>IF(ISERROR(VLOOKUP($A59&amp;"-"&amp;E$1,Tabelle1!$H$2:$H$257,1,FALSE)),"","X")</f>
        <v>X</v>
      </c>
      <c r="F59" t="str">
        <f>IF(ISERROR(VLOOKUP($A59&amp;"-"&amp;F$1,Tabelle1!$H$2:$H$257,1,FALSE)),"","X")</f>
        <v/>
      </c>
      <c r="G59" t="str">
        <f>IF(ISERROR(VLOOKUP($A59&amp;"-"&amp;G$1,Tabelle1!$H$2:$H$257,1,FALSE)),"","X")</f>
        <v>X</v>
      </c>
      <c r="H59" t="str">
        <f>IF(ISERROR(VLOOKUP($A59&amp;"-"&amp;H$1,Tabelle1!$H$2:$H$257,1,FALSE)),"","X")</f>
        <v/>
      </c>
      <c r="I59" t="str">
        <f>IF(ISERROR(VLOOKUP($A59&amp;"-"&amp;I$1,Tabelle1!$H$2:$H$257,1,FALSE)),"","X")</f>
        <v/>
      </c>
      <c r="J59" t="str">
        <f>IF(ISERROR(VLOOKUP($A59&amp;"-"&amp;J$1,Tabelle1!$H$2:$H$257,1,FALSE)),"","X")</f>
        <v/>
      </c>
      <c r="K59" t="str">
        <f>IF(ISERROR(VLOOKUP($A59&amp;"-"&amp;K$1,Tabelle1!$H$2:$H$257,1,FALSE)),"","X")</f>
        <v>X</v>
      </c>
      <c r="L59" t="str">
        <f>IF(ISERROR(VLOOKUP($A59&amp;"-"&amp;L$1,Tabelle1!$H$2:$H$257,1,FALSE)),"","X")</f>
        <v/>
      </c>
      <c r="M59" t="str">
        <f>IF(ISERROR(VLOOKUP($A59&amp;"-"&amp;M$1,Tabelle1!$H$2:$H$257,1,FALSE)),"","X")</f>
        <v>X</v>
      </c>
      <c r="N59" t="str">
        <f>IF(ISERROR(VLOOKUP($A59&amp;"-"&amp;N$1,Tabelle1!$H$2:$H$257,1,FALSE)),"","X")</f>
        <v/>
      </c>
      <c r="O59" t="str">
        <f>IF(ISERROR(VLOOKUP($A59&amp;"-"&amp;O$1,Tabelle1!$H$2:$H$257,1,FALSE)),"","X")</f>
        <v/>
      </c>
      <c r="P59" t="str">
        <f>IF(ISERROR(VLOOKUP($A59&amp;"-"&amp;P$1,Tabelle1!$H$2:$H$257,1,FALSE)),"","X")</f>
        <v/>
      </c>
    </row>
    <row r="60" spans="1:16">
      <c r="A60" s="1" t="s">
        <v>75</v>
      </c>
      <c r="B60" s="2" t="str">
        <f>VLOOKUP(A60,Tabelle1!$E$2:$G$257,3,FALSE)</f>
        <v>regulär</v>
      </c>
      <c r="C60" t="str">
        <f>IF(ISERROR(VLOOKUP($A60&amp;"-"&amp;C$1,Tabelle1!$H$2:$H$257,1,FALSE)),"","X")</f>
        <v>X</v>
      </c>
      <c r="D60" t="str">
        <f>IF(ISERROR(VLOOKUP($A60&amp;"-"&amp;D$1,Tabelle1!$H$2:$H$257,1,FALSE)),"","X")</f>
        <v/>
      </c>
      <c r="E60" t="str">
        <f>IF(ISERROR(VLOOKUP($A60&amp;"-"&amp;E$1,Tabelle1!$H$2:$H$257,1,FALSE)),"","X")</f>
        <v/>
      </c>
      <c r="F60" t="str">
        <f>IF(ISERROR(VLOOKUP($A60&amp;"-"&amp;F$1,Tabelle1!$H$2:$H$257,1,FALSE)),"","X")</f>
        <v/>
      </c>
      <c r="G60" t="str">
        <f>IF(ISERROR(VLOOKUP($A60&amp;"-"&amp;G$1,Tabelle1!$H$2:$H$257,1,FALSE)),"","X")</f>
        <v/>
      </c>
      <c r="H60" t="str">
        <f>IF(ISERROR(VLOOKUP($A60&amp;"-"&amp;H$1,Tabelle1!$H$2:$H$257,1,FALSE)),"","X")</f>
        <v/>
      </c>
      <c r="I60" t="str">
        <f>IF(ISERROR(VLOOKUP($A60&amp;"-"&amp;I$1,Tabelle1!$H$2:$H$257,1,FALSE)),"","X")</f>
        <v/>
      </c>
      <c r="J60" t="str">
        <f>IF(ISERROR(VLOOKUP($A60&amp;"-"&amp;J$1,Tabelle1!$H$2:$H$257,1,FALSE)),"","X")</f>
        <v/>
      </c>
      <c r="K60" t="str">
        <f>IF(ISERROR(VLOOKUP($A60&amp;"-"&amp;K$1,Tabelle1!$H$2:$H$257,1,FALSE)),"","X")</f>
        <v/>
      </c>
      <c r="L60" t="str">
        <f>IF(ISERROR(VLOOKUP($A60&amp;"-"&amp;L$1,Tabelle1!$H$2:$H$257,1,FALSE)),"","X")</f>
        <v/>
      </c>
      <c r="M60" t="str">
        <f>IF(ISERROR(VLOOKUP($A60&amp;"-"&amp;M$1,Tabelle1!$H$2:$H$257,1,FALSE)),"","X")</f>
        <v/>
      </c>
      <c r="N60" t="str">
        <f>IF(ISERROR(VLOOKUP($A60&amp;"-"&amp;N$1,Tabelle1!$H$2:$H$257,1,FALSE)),"","X")</f>
        <v/>
      </c>
      <c r="O60" t="str">
        <f>IF(ISERROR(VLOOKUP($A60&amp;"-"&amp;O$1,Tabelle1!$H$2:$H$257,1,FALSE)),"","X")</f>
        <v/>
      </c>
      <c r="P60" t="str">
        <f>IF(ISERROR(VLOOKUP($A60&amp;"-"&amp;P$1,Tabelle1!$H$2:$H$257,1,FALSE)),"","X")</f>
        <v/>
      </c>
    </row>
    <row r="61" spans="1:16">
      <c r="A61" s="1" t="s">
        <v>76</v>
      </c>
      <c r="B61" s="2" t="str">
        <f>VLOOKUP(A61,Tabelle1!$E$2:$G$257,3,FALSE)</f>
        <v>regulär</v>
      </c>
      <c r="C61" t="str">
        <f>IF(ISERROR(VLOOKUP($A61&amp;"-"&amp;C$1,Tabelle1!$H$2:$H$257,1,FALSE)),"","X")</f>
        <v>X</v>
      </c>
      <c r="D61" t="str">
        <f>IF(ISERROR(VLOOKUP($A61&amp;"-"&amp;D$1,Tabelle1!$H$2:$H$257,1,FALSE)),"","X")</f>
        <v/>
      </c>
      <c r="E61" t="str">
        <f>IF(ISERROR(VLOOKUP($A61&amp;"-"&amp;E$1,Tabelle1!$H$2:$H$257,1,FALSE)),"","X")</f>
        <v/>
      </c>
      <c r="F61" t="str">
        <f>IF(ISERROR(VLOOKUP($A61&amp;"-"&amp;F$1,Tabelle1!$H$2:$H$257,1,FALSE)),"","X")</f>
        <v/>
      </c>
      <c r="G61" t="str">
        <f>IF(ISERROR(VLOOKUP($A61&amp;"-"&amp;G$1,Tabelle1!$H$2:$H$257,1,FALSE)),"","X")</f>
        <v/>
      </c>
      <c r="H61" t="str">
        <f>IF(ISERROR(VLOOKUP($A61&amp;"-"&amp;H$1,Tabelle1!$H$2:$H$257,1,FALSE)),"","X")</f>
        <v/>
      </c>
      <c r="I61" t="str">
        <f>IF(ISERROR(VLOOKUP($A61&amp;"-"&amp;I$1,Tabelle1!$H$2:$H$257,1,FALSE)),"","X")</f>
        <v/>
      </c>
      <c r="J61" t="str">
        <f>IF(ISERROR(VLOOKUP($A61&amp;"-"&amp;J$1,Tabelle1!$H$2:$H$257,1,FALSE)),"","X")</f>
        <v/>
      </c>
      <c r="K61" t="str">
        <f>IF(ISERROR(VLOOKUP($A61&amp;"-"&amp;K$1,Tabelle1!$H$2:$H$257,1,FALSE)),"","X")</f>
        <v/>
      </c>
      <c r="L61" t="str">
        <f>IF(ISERROR(VLOOKUP($A61&amp;"-"&amp;L$1,Tabelle1!$H$2:$H$257,1,FALSE)),"","X")</f>
        <v/>
      </c>
      <c r="M61" t="str">
        <f>IF(ISERROR(VLOOKUP($A61&amp;"-"&amp;M$1,Tabelle1!$H$2:$H$257,1,FALSE)),"","X")</f>
        <v/>
      </c>
      <c r="N61" t="str">
        <f>IF(ISERROR(VLOOKUP($A61&amp;"-"&amp;N$1,Tabelle1!$H$2:$H$257,1,FALSE)),"","X")</f>
        <v/>
      </c>
      <c r="O61" t="str">
        <f>IF(ISERROR(VLOOKUP($A61&amp;"-"&amp;O$1,Tabelle1!$H$2:$H$257,1,FALSE)),"","X")</f>
        <v/>
      </c>
      <c r="P61" t="str">
        <f>IF(ISERROR(VLOOKUP($A61&amp;"-"&amp;P$1,Tabelle1!$H$2:$H$257,1,FALSE)),"","X")</f>
        <v/>
      </c>
    </row>
    <row r="62" spans="1:16">
      <c r="A62" s="1" t="s">
        <v>77</v>
      </c>
      <c r="B62" s="2" t="str">
        <f>VLOOKUP(A62,Tabelle1!$E$2:$G$257,3,FALSE)</f>
        <v>regulär</v>
      </c>
      <c r="C62" t="str">
        <f>IF(ISERROR(VLOOKUP($A62&amp;"-"&amp;C$1,Tabelle1!$H$2:$H$257,1,FALSE)),"","X")</f>
        <v/>
      </c>
      <c r="D62" t="str">
        <f>IF(ISERROR(VLOOKUP($A62&amp;"-"&amp;D$1,Tabelle1!$H$2:$H$257,1,FALSE)),"","X")</f>
        <v/>
      </c>
      <c r="E62" t="str">
        <f>IF(ISERROR(VLOOKUP($A62&amp;"-"&amp;E$1,Tabelle1!$H$2:$H$257,1,FALSE)),"","X")</f>
        <v/>
      </c>
      <c r="F62" t="str">
        <f>IF(ISERROR(VLOOKUP($A62&amp;"-"&amp;F$1,Tabelle1!$H$2:$H$257,1,FALSE)),"","X")</f>
        <v/>
      </c>
      <c r="G62" t="str">
        <f>IF(ISERROR(VLOOKUP($A62&amp;"-"&amp;G$1,Tabelle1!$H$2:$H$257,1,FALSE)),"","X")</f>
        <v/>
      </c>
      <c r="H62" t="str">
        <f>IF(ISERROR(VLOOKUP($A62&amp;"-"&amp;H$1,Tabelle1!$H$2:$H$257,1,FALSE)),"","X")</f>
        <v>X</v>
      </c>
      <c r="I62" t="str">
        <f>IF(ISERROR(VLOOKUP($A62&amp;"-"&amp;I$1,Tabelle1!$H$2:$H$257,1,FALSE)),"","X")</f>
        <v/>
      </c>
      <c r="J62" t="str">
        <f>IF(ISERROR(VLOOKUP($A62&amp;"-"&amp;J$1,Tabelle1!$H$2:$H$257,1,FALSE)),"","X")</f>
        <v/>
      </c>
      <c r="K62" t="str">
        <f>IF(ISERROR(VLOOKUP($A62&amp;"-"&amp;K$1,Tabelle1!$H$2:$H$257,1,FALSE)),"","X")</f>
        <v/>
      </c>
      <c r="L62" t="str">
        <f>IF(ISERROR(VLOOKUP($A62&amp;"-"&amp;L$1,Tabelle1!$H$2:$H$257,1,FALSE)),"","X")</f>
        <v/>
      </c>
      <c r="M62" t="str">
        <f>IF(ISERROR(VLOOKUP($A62&amp;"-"&amp;M$1,Tabelle1!$H$2:$H$257,1,FALSE)),"","X")</f>
        <v/>
      </c>
      <c r="N62" t="str">
        <f>IF(ISERROR(VLOOKUP($A62&amp;"-"&amp;N$1,Tabelle1!$H$2:$H$257,1,FALSE)),"","X")</f>
        <v/>
      </c>
      <c r="O62" t="str">
        <f>IF(ISERROR(VLOOKUP($A62&amp;"-"&amp;O$1,Tabelle1!$H$2:$H$257,1,FALSE)),"","X")</f>
        <v/>
      </c>
      <c r="P62" t="str">
        <f>IF(ISERROR(VLOOKUP($A62&amp;"-"&amp;P$1,Tabelle1!$H$2:$H$257,1,FALSE)),"","X")</f>
        <v/>
      </c>
    </row>
    <row r="63" spans="1:16">
      <c r="A63" s="1" t="s">
        <v>78</v>
      </c>
      <c r="B63" s="2" t="str">
        <f>VLOOKUP(A63,Tabelle1!$E$2:$G$257,3,FALSE)</f>
        <v>regulär</v>
      </c>
      <c r="C63" t="str">
        <f>IF(ISERROR(VLOOKUP($A63&amp;"-"&amp;C$1,Tabelle1!$H$2:$H$257,1,FALSE)),"","X")</f>
        <v>X</v>
      </c>
      <c r="D63" t="str">
        <f>IF(ISERROR(VLOOKUP($A63&amp;"-"&amp;D$1,Tabelle1!$H$2:$H$257,1,FALSE)),"","X")</f>
        <v/>
      </c>
      <c r="E63" t="str">
        <f>IF(ISERROR(VLOOKUP($A63&amp;"-"&amp;E$1,Tabelle1!$H$2:$H$257,1,FALSE)),"","X")</f>
        <v/>
      </c>
      <c r="F63" t="str">
        <f>IF(ISERROR(VLOOKUP($A63&amp;"-"&amp;F$1,Tabelle1!$H$2:$H$257,1,FALSE)),"","X")</f>
        <v/>
      </c>
      <c r="G63" t="str">
        <f>IF(ISERROR(VLOOKUP($A63&amp;"-"&amp;G$1,Tabelle1!$H$2:$H$257,1,FALSE)),"","X")</f>
        <v/>
      </c>
      <c r="H63" t="str">
        <f>IF(ISERROR(VLOOKUP($A63&amp;"-"&amp;H$1,Tabelle1!$H$2:$H$257,1,FALSE)),"","X")</f>
        <v/>
      </c>
      <c r="I63" t="str">
        <f>IF(ISERROR(VLOOKUP($A63&amp;"-"&amp;I$1,Tabelle1!$H$2:$H$257,1,FALSE)),"","X")</f>
        <v/>
      </c>
      <c r="J63" t="str">
        <f>IF(ISERROR(VLOOKUP($A63&amp;"-"&amp;J$1,Tabelle1!$H$2:$H$257,1,FALSE)),"","X")</f>
        <v/>
      </c>
      <c r="K63" t="str">
        <f>IF(ISERROR(VLOOKUP($A63&amp;"-"&amp;K$1,Tabelle1!$H$2:$H$257,1,FALSE)),"","X")</f>
        <v/>
      </c>
      <c r="L63" t="str">
        <f>IF(ISERROR(VLOOKUP($A63&amp;"-"&amp;L$1,Tabelle1!$H$2:$H$257,1,FALSE)),"","X")</f>
        <v/>
      </c>
      <c r="M63" t="str">
        <f>IF(ISERROR(VLOOKUP($A63&amp;"-"&amp;M$1,Tabelle1!$H$2:$H$257,1,FALSE)),"","X")</f>
        <v/>
      </c>
      <c r="N63" t="str">
        <f>IF(ISERROR(VLOOKUP($A63&amp;"-"&amp;N$1,Tabelle1!$H$2:$H$257,1,FALSE)),"","X")</f>
        <v/>
      </c>
      <c r="O63" t="str">
        <f>IF(ISERROR(VLOOKUP($A63&amp;"-"&amp;O$1,Tabelle1!$H$2:$H$257,1,FALSE)),"","X")</f>
        <v/>
      </c>
      <c r="P63" t="str">
        <f>IF(ISERROR(VLOOKUP($A63&amp;"-"&amp;P$1,Tabelle1!$H$2:$H$257,1,FALSE)),"","X")</f>
        <v/>
      </c>
    </row>
    <row r="64" spans="1:16" hidden="1">
      <c r="A64" s="1" t="s">
        <v>79</v>
      </c>
      <c r="B64" s="2" t="str">
        <f>VLOOKUP(A64,Tabelle1!$E$2:$G$257,3,FALSE)</f>
        <v>illegal</v>
      </c>
      <c r="C64" t="str">
        <f>IF(ISERROR(VLOOKUP($A64&amp;"-"&amp;C$1,Tabelle1!$H$2:$H$257,1,FALSE)),"","X")</f>
        <v>X</v>
      </c>
      <c r="D64" t="str">
        <f>IF(ISERROR(VLOOKUP($A64&amp;"-"&amp;D$1,Tabelle1!$H$2:$H$257,1,FALSE)),"","X")</f>
        <v/>
      </c>
      <c r="E64" t="str">
        <f>IF(ISERROR(VLOOKUP($A64&amp;"-"&amp;E$1,Tabelle1!$H$2:$H$257,1,FALSE)),"","X")</f>
        <v/>
      </c>
      <c r="F64" t="str">
        <f>IF(ISERROR(VLOOKUP($A64&amp;"-"&amp;F$1,Tabelle1!$H$2:$H$257,1,FALSE)),"","X")</f>
        <v/>
      </c>
      <c r="G64" t="str">
        <f>IF(ISERROR(VLOOKUP($A64&amp;"-"&amp;G$1,Tabelle1!$H$2:$H$257,1,FALSE)),"","X")</f>
        <v/>
      </c>
      <c r="H64" t="str">
        <f>IF(ISERROR(VLOOKUP($A64&amp;"-"&amp;H$1,Tabelle1!$H$2:$H$257,1,FALSE)),"","X")</f>
        <v/>
      </c>
      <c r="I64" t="str">
        <f>IF(ISERROR(VLOOKUP($A64&amp;"-"&amp;I$1,Tabelle1!$H$2:$H$257,1,FALSE)),"","X")</f>
        <v/>
      </c>
      <c r="J64" t="str">
        <f>IF(ISERROR(VLOOKUP($A64&amp;"-"&amp;J$1,Tabelle1!$H$2:$H$257,1,FALSE)),"","X")</f>
        <v/>
      </c>
      <c r="K64" t="str">
        <f>IF(ISERROR(VLOOKUP($A64&amp;"-"&amp;K$1,Tabelle1!$H$2:$H$257,1,FALSE)),"","X")</f>
        <v/>
      </c>
      <c r="L64" t="str">
        <f>IF(ISERROR(VLOOKUP($A64&amp;"-"&amp;L$1,Tabelle1!$H$2:$H$257,1,FALSE)),"","X")</f>
        <v/>
      </c>
      <c r="M64" t="str">
        <f>IF(ISERROR(VLOOKUP($A64&amp;"-"&amp;M$1,Tabelle1!$H$2:$H$257,1,FALSE)),"","X")</f>
        <v/>
      </c>
      <c r="N64" t="str">
        <f>IF(ISERROR(VLOOKUP($A64&amp;"-"&amp;N$1,Tabelle1!$H$2:$H$257,1,FALSE)),"","X")</f>
        <v/>
      </c>
      <c r="O64" t="str">
        <f>IF(ISERROR(VLOOKUP($A64&amp;"-"&amp;O$1,Tabelle1!$H$2:$H$257,1,FALSE)),"","X")</f>
        <v/>
      </c>
      <c r="P64" t="str">
        <f>IF(ISERROR(VLOOKUP($A64&amp;"-"&amp;P$1,Tabelle1!$H$2:$H$257,1,FALSE)),"","X")</f>
        <v/>
      </c>
    </row>
    <row r="65" spans="1:16">
      <c r="A65" s="1" t="s">
        <v>80</v>
      </c>
      <c r="B65" s="2" t="str">
        <f>VLOOKUP(A65,Tabelle1!$E$2:$G$257,3,FALSE)</f>
        <v>regulär</v>
      </c>
      <c r="C65" t="str">
        <f>IF(ISERROR(VLOOKUP($A65&amp;"-"&amp;C$1,Tabelle1!$H$2:$H$257,1,FALSE)),"","X")</f>
        <v/>
      </c>
      <c r="D65" t="str">
        <f>IF(ISERROR(VLOOKUP($A65&amp;"-"&amp;D$1,Tabelle1!$H$2:$H$257,1,FALSE)),"","X")</f>
        <v/>
      </c>
      <c r="E65" t="str">
        <f>IF(ISERROR(VLOOKUP($A65&amp;"-"&amp;E$1,Tabelle1!$H$2:$H$257,1,FALSE)),"","X")</f>
        <v>X</v>
      </c>
      <c r="F65" t="str">
        <f>IF(ISERROR(VLOOKUP($A65&amp;"-"&amp;F$1,Tabelle1!$H$2:$H$257,1,FALSE)),"","X")</f>
        <v>X</v>
      </c>
      <c r="G65" t="str">
        <f>IF(ISERROR(VLOOKUP($A65&amp;"-"&amp;G$1,Tabelle1!$H$2:$H$257,1,FALSE)),"","X")</f>
        <v>X</v>
      </c>
      <c r="H65" t="str">
        <f>IF(ISERROR(VLOOKUP($A65&amp;"-"&amp;H$1,Tabelle1!$H$2:$H$257,1,FALSE)),"","X")</f>
        <v/>
      </c>
      <c r="I65" t="str">
        <f>IF(ISERROR(VLOOKUP($A65&amp;"-"&amp;I$1,Tabelle1!$H$2:$H$257,1,FALSE)),"","X")</f>
        <v/>
      </c>
      <c r="J65" t="str">
        <f>IF(ISERROR(VLOOKUP($A65&amp;"-"&amp;J$1,Tabelle1!$H$2:$H$257,1,FALSE)),"","X")</f>
        <v/>
      </c>
      <c r="K65" t="str">
        <f>IF(ISERROR(VLOOKUP($A65&amp;"-"&amp;K$1,Tabelle1!$H$2:$H$257,1,FALSE)),"","X")</f>
        <v/>
      </c>
      <c r="L65" t="str">
        <f>IF(ISERROR(VLOOKUP($A65&amp;"-"&amp;L$1,Tabelle1!$H$2:$H$257,1,FALSE)),"","X")</f>
        <v/>
      </c>
      <c r="M65" t="str">
        <f>IF(ISERROR(VLOOKUP($A65&amp;"-"&amp;M$1,Tabelle1!$H$2:$H$257,1,FALSE)),"","X")</f>
        <v/>
      </c>
      <c r="N65" t="str">
        <f>IF(ISERROR(VLOOKUP($A65&amp;"-"&amp;N$1,Tabelle1!$H$2:$H$257,1,FALSE)),"","X")</f>
        <v/>
      </c>
      <c r="O65" t="str">
        <f>IF(ISERROR(VLOOKUP($A65&amp;"-"&amp;O$1,Tabelle1!$H$2:$H$257,1,FALSE)),"","X")</f>
        <v/>
      </c>
      <c r="P65" t="str">
        <f>IF(ISERROR(VLOOKUP($A65&amp;"-"&amp;P$1,Tabelle1!$H$2:$H$257,1,FALSE)),"","X")</f>
        <v/>
      </c>
    </row>
    <row r="66" spans="1:16">
      <c r="A66" s="1" t="s">
        <v>81</v>
      </c>
      <c r="B66" s="2" t="str">
        <f>VLOOKUP(A66,Tabelle1!$E$2:$G$257,3,FALSE)</f>
        <v>regulär</v>
      </c>
      <c r="C66" t="str">
        <f>IF(ISERROR(VLOOKUP($A66&amp;"-"&amp;C$1,Tabelle1!$H$2:$H$257,1,FALSE)),"","X")</f>
        <v/>
      </c>
      <c r="D66" t="str">
        <f>IF(ISERROR(VLOOKUP($A66&amp;"-"&amp;D$1,Tabelle1!$H$2:$H$257,1,FALSE)),"","X")</f>
        <v>X</v>
      </c>
      <c r="E66" t="str">
        <f>IF(ISERROR(VLOOKUP($A66&amp;"-"&amp;E$1,Tabelle1!$H$2:$H$257,1,FALSE)),"","X")</f>
        <v>X</v>
      </c>
      <c r="F66" t="str">
        <f>IF(ISERROR(VLOOKUP($A66&amp;"-"&amp;F$1,Tabelle1!$H$2:$H$257,1,FALSE)),"","X")</f>
        <v>X</v>
      </c>
      <c r="G66" t="str">
        <f>IF(ISERROR(VLOOKUP($A66&amp;"-"&amp;G$1,Tabelle1!$H$2:$H$257,1,FALSE)),"","X")</f>
        <v>X</v>
      </c>
      <c r="H66" t="str">
        <f>IF(ISERROR(VLOOKUP($A66&amp;"-"&amp;H$1,Tabelle1!$H$2:$H$257,1,FALSE)),"","X")</f>
        <v/>
      </c>
      <c r="I66" t="str">
        <f>IF(ISERROR(VLOOKUP($A66&amp;"-"&amp;I$1,Tabelle1!$H$2:$H$257,1,FALSE)),"","X")</f>
        <v>X</v>
      </c>
      <c r="J66" t="str">
        <f>IF(ISERROR(VLOOKUP($A66&amp;"-"&amp;J$1,Tabelle1!$H$2:$H$257,1,FALSE)),"","X")</f>
        <v>X</v>
      </c>
      <c r="K66" t="str">
        <f>IF(ISERROR(VLOOKUP($A66&amp;"-"&amp;K$1,Tabelle1!$H$2:$H$257,1,FALSE)),"","X")</f>
        <v>X</v>
      </c>
      <c r="L66" t="str">
        <f>IF(ISERROR(VLOOKUP($A66&amp;"-"&amp;L$1,Tabelle1!$H$2:$H$257,1,FALSE)),"","X")</f>
        <v>X</v>
      </c>
      <c r="M66" t="str">
        <f>IF(ISERROR(VLOOKUP($A66&amp;"-"&amp;M$1,Tabelle1!$H$2:$H$257,1,FALSE)),"","X")</f>
        <v>X</v>
      </c>
      <c r="N66" t="str">
        <f>IF(ISERROR(VLOOKUP($A66&amp;"-"&amp;N$1,Tabelle1!$H$2:$H$257,1,FALSE)),"","X")</f>
        <v/>
      </c>
      <c r="O66" t="str">
        <f>IF(ISERROR(VLOOKUP($A66&amp;"-"&amp;O$1,Tabelle1!$H$2:$H$257,1,FALSE)),"","X")</f>
        <v/>
      </c>
      <c r="P66" t="str">
        <f>IF(ISERROR(VLOOKUP($A66&amp;"-"&amp;P$1,Tabelle1!$H$2:$H$257,1,FALSE)),"","X")</f>
        <v/>
      </c>
    </row>
    <row r="67" spans="1:16">
      <c r="A67" s="1" t="s">
        <v>82</v>
      </c>
      <c r="B67" s="2" t="str">
        <f>VLOOKUP(A67,Tabelle1!$E$2:$G$257,3,FALSE)</f>
        <v>regulär</v>
      </c>
      <c r="C67" t="str">
        <f>IF(ISERROR(VLOOKUP($A67&amp;"-"&amp;C$1,Tabelle1!$H$2:$H$257,1,FALSE)),"","X")</f>
        <v/>
      </c>
      <c r="D67" t="str">
        <f>IF(ISERROR(VLOOKUP($A67&amp;"-"&amp;D$1,Tabelle1!$H$2:$H$257,1,FALSE)),"","X")</f>
        <v/>
      </c>
      <c r="E67" t="str">
        <f>IF(ISERROR(VLOOKUP($A67&amp;"-"&amp;E$1,Tabelle1!$H$2:$H$257,1,FALSE)),"","X")</f>
        <v>X</v>
      </c>
      <c r="F67" t="str">
        <f>IF(ISERROR(VLOOKUP($A67&amp;"-"&amp;F$1,Tabelle1!$H$2:$H$257,1,FALSE)),"","X")</f>
        <v/>
      </c>
      <c r="G67" t="str">
        <f>IF(ISERROR(VLOOKUP($A67&amp;"-"&amp;G$1,Tabelle1!$H$2:$H$257,1,FALSE)),"","X")</f>
        <v>X</v>
      </c>
      <c r="H67" t="str">
        <f>IF(ISERROR(VLOOKUP($A67&amp;"-"&amp;H$1,Tabelle1!$H$2:$H$257,1,FALSE)),"","X")</f>
        <v/>
      </c>
      <c r="I67" t="str">
        <f>IF(ISERROR(VLOOKUP($A67&amp;"-"&amp;I$1,Tabelle1!$H$2:$H$257,1,FALSE)),"","X")</f>
        <v/>
      </c>
      <c r="J67" t="str">
        <f>IF(ISERROR(VLOOKUP($A67&amp;"-"&amp;J$1,Tabelle1!$H$2:$H$257,1,FALSE)),"","X")</f>
        <v/>
      </c>
      <c r="K67" t="str">
        <f>IF(ISERROR(VLOOKUP($A67&amp;"-"&amp;K$1,Tabelle1!$H$2:$H$257,1,FALSE)),"","X")</f>
        <v>X</v>
      </c>
      <c r="L67" t="str">
        <f>IF(ISERROR(VLOOKUP($A67&amp;"-"&amp;L$1,Tabelle1!$H$2:$H$257,1,FALSE)),"","X")</f>
        <v/>
      </c>
      <c r="M67" t="str">
        <f>IF(ISERROR(VLOOKUP($A67&amp;"-"&amp;M$1,Tabelle1!$H$2:$H$257,1,FALSE)),"","X")</f>
        <v>X</v>
      </c>
      <c r="N67" t="str">
        <f>IF(ISERROR(VLOOKUP($A67&amp;"-"&amp;N$1,Tabelle1!$H$2:$H$257,1,FALSE)),"","X")</f>
        <v/>
      </c>
      <c r="O67" t="str">
        <f>IF(ISERROR(VLOOKUP($A67&amp;"-"&amp;O$1,Tabelle1!$H$2:$H$257,1,FALSE)),"","X")</f>
        <v/>
      </c>
      <c r="P67" t="str">
        <f>IF(ISERROR(VLOOKUP($A67&amp;"-"&amp;P$1,Tabelle1!$H$2:$H$257,1,FALSE)),"","X")</f>
        <v/>
      </c>
    </row>
    <row r="68" spans="1:16">
      <c r="A68" s="1" t="s">
        <v>83</v>
      </c>
      <c r="B68" s="2" t="str">
        <f>VLOOKUP(A68,Tabelle1!$E$2:$G$257,3,FALSE)</f>
        <v>regulär</v>
      </c>
      <c r="C68" t="str">
        <f>IF(ISERROR(VLOOKUP($A68&amp;"-"&amp;C$1,Tabelle1!$H$2:$H$257,1,FALSE)),"","X")</f>
        <v>X</v>
      </c>
      <c r="D68" t="str">
        <f>IF(ISERROR(VLOOKUP($A68&amp;"-"&amp;D$1,Tabelle1!$H$2:$H$257,1,FALSE)),"","X")</f>
        <v/>
      </c>
      <c r="E68" t="str">
        <f>IF(ISERROR(VLOOKUP($A68&amp;"-"&amp;E$1,Tabelle1!$H$2:$H$257,1,FALSE)),"","X")</f>
        <v/>
      </c>
      <c r="F68" t="str">
        <f>IF(ISERROR(VLOOKUP($A68&amp;"-"&amp;F$1,Tabelle1!$H$2:$H$257,1,FALSE)),"","X")</f>
        <v/>
      </c>
      <c r="G68" t="str">
        <f>IF(ISERROR(VLOOKUP($A68&amp;"-"&amp;G$1,Tabelle1!$H$2:$H$257,1,FALSE)),"","X")</f>
        <v/>
      </c>
      <c r="H68" t="str">
        <f>IF(ISERROR(VLOOKUP($A68&amp;"-"&amp;H$1,Tabelle1!$H$2:$H$257,1,FALSE)),"","X")</f>
        <v/>
      </c>
      <c r="I68" t="str">
        <f>IF(ISERROR(VLOOKUP($A68&amp;"-"&amp;I$1,Tabelle1!$H$2:$H$257,1,FALSE)),"","X")</f>
        <v/>
      </c>
      <c r="J68" t="str">
        <f>IF(ISERROR(VLOOKUP($A68&amp;"-"&amp;J$1,Tabelle1!$H$2:$H$257,1,FALSE)),"","X")</f>
        <v/>
      </c>
      <c r="K68" t="str">
        <f>IF(ISERROR(VLOOKUP($A68&amp;"-"&amp;K$1,Tabelle1!$H$2:$H$257,1,FALSE)),"","X")</f>
        <v/>
      </c>
      <c r="L68" t="str">
        <f>IF(ISERROR(VLOOKUP($A68&amp;"-"&amp;L$1,Tabelle1!$H$2:$H$257,1,FALSE)),"","X")</f>
        <v/>
      </c>
      <c r="M68" t="str">
        <f>IF(ISERROR(VLOOKUP($A68&amp;"-"&amp;M$1,Tabelle1!$H$2:$H$257,1,FALSE)),"","X")</f>
        <v/>
      </c>
      <c r="N68" t="str">
        <f>IF(ISERROR(VLOOKUP($A68&amp;"-"&amp;N$1,Tabelle1!$H$2:$H$257,1,FALSE)),"","X")</f>
        <v/>
      </c>
      <c r="O68" t="str">
        <f>IF(ISERROR(VLOOKUP($A68&amp;"-"&amp;O$1,Tabelle1!$H$2:$H$257,1,FALSE)),"","X")</f>
        <v/>
      </c>
      <c r="P68" t="str">
        <f>IF(ISERROR(VLOOKUP($A68&amp;"-"&amp;P$1,Tabelle1!$H$2:$H$257,1,FALSE)),"","X")</f>
        <v/>
      </c>
    </row>
    <row r="69" spans="1:16">
      <c r="A69" s="1" t="s">
        <v>84</v>
      </c>
      <c r="B69" s="2" t="str">
        <f>VLOOKUP(A69,Tabelle1!$E$2:$G$257,3,FALSE)</f>
        <v>regulär</v>
      </c>
      <c r="C69" t="str">
        <f>IF(ISERROR(VLOOKUP($A69&amp;"-"&amp;C$1,Tabelle1!$H$2:$H$257,1,FALSE)),"","X")</f>
        <v/>
      </c>
      <c r="D69" t="str">
        <f>IF(ISERROR(VLOOKUP($A69&amp;"-"&amp;D$1,Tabelle1!$H$2:$H$257,1,FALSE)),"","X")</f>
        <v/>
      </c>
      <c r="E69" t="str">
        <f>IF(ISERROR(VLOOKUP($A69&amp;"-"&amp;E$1,Tabelle1!$H$2:$H$257,1,FALSE)),"","X")</f>
        <v/>
      </c>
      <c r="F69" t="str">
        <f>IF(ISERROR(VLOOKUP($A69&amp;"-"&amp;F$1,Tabelle1!$H$2:$H$257,1,FALSE)),"","X")</f>
        <v/>
      </c>
      <c r="G69" t="str">
        <f>IF(ISERROR(VLOOKUP($A69&amp;"-"&amp;G$1,Tabelle1!$H$2:$H$257,1,FALSE)),"","X")</f>
        <v/>
      </c>
      <c r="H69" t="str">
        <f>IF(ISERROR(VLOOKUP($A69&amp;"-"&amp;H$1,Tabelle1!$H$2:$H$257,1,FALSE)),"","X")</f>
        <v>X</v>
      </c>
      <c r="I69" t="str">
        <f>IF(ISERROR(VLOOKUP($A69&amp;"-"&amp;I$1,Tabelle1!$H$2:$H$257,1,FALSE)),"","X")</f>
        <v/>
      </c>
      <c r="J69" t="str">
        <f>IF(ISERROR(VLOOKUP($A69&amp;"-"&amp;J$1,Tabelle1!$H$2:$H$257,1,FALSE)),"","X")</f>
        <v/>
      </c>
      <c r="K69" t="str">
        <f>IF(ISERROR(VLOOKUP($A69&amp;"-"&amp;K$1,Tabelle1!$H$2:$H$257,1,FALSE)),"","X")</f>
        <v/>
      </c>
      <c r="L69" t="str">
        <f>IF(ISERROR(VLOOKUP($A69&amp;"-"&amp;L$1,Tabelle1!$H$2:$H$257,1,FALSE)),"","X")</f>
        <v/>
      </c>
      <c r="M69" t="str">
        <f>IF(ISERROR(VLOOKUP($A69&amp;"-"&amp;M$1,Tabelle1!$H$2:$H$257,1,FALSE)),"","X")</f>
        <v/>
      </c>
      <c r="N69" t="str">
        <f>IF(ISERROR(VLOOKUP($A69&amp;"-"&amp;N$1,Tabelle1!$H$2:$H$257,1,FALSE)),"","X")</f>
        <v/>
      </c>
      <c r="O69" t="str">
        <f>IF(ISERROR(VLOOKUP($A69&amp;"-"&amp;O$1,Tabelle1!$H$2:$H$257,1,FALSE)),"","X")</f>
        <v/>
      </c>
      <c r="P69" t="str">
        <f>IF(ISERROR(VLOOKUP($A69&amp;"-"&amp;P$1,Tabelle1!$H$2:$H$257,1,FALSE)),"","X")</f>
        <v/>
      </c>
    </row>
    <row r="70" spans="1:16">
      <c r="A70" s="1" t="s">
        <v>85</v>
      </c>
      <c r="B70" s="2" t="str">
        <f>VLOOKUP(A70,Tabelle1!$E$2:$G$257,3,FALSE)</f>
        <v>regulär</v>
      </c>
      <c r="C70" t="str">
        <f>IF(ISERROR(VLOOKUP($A70&amp;"-"&amp;C$1,Tabelle1!$H$2:$H$257,1,FALSE)),"","X")</f>
        <v>X</v>
      </c>
      <c r="D70" t="str">
        <f>IF(ISERROR(VLOOKUP($A70&amp;"-"&amp;D$1,Tabelle1!$H$2:$H$257,1,FALSE)),"","X")</f>
        <v/>
      </c>
      <c r="E70" t="str">
        <f>IF(ISERROR(VLOOKUP($A70&amp;"-"&amp;E$1,Tabelle1!$H$2:$H$257,1,FALSE)),"","X")</f>
        <v/>
      </c>
      <c r="F70" t="str">
        <f>IF(ISERROR(VLOOKUP($A70&amp;"-"&amp;F$1,Tabelle1!$H$2:$H$257,1,FALSE)),"","X")</f>
        <v/>
      </c>
      <c r="G70" t="str">
        <f>IF(ISERROR(VLOOKUP($A70&amp;"-"&amp;G$1,Tabelle1!$H$2:$H$257,1,FALSE)),"","X")</f>
        <v/>
      </c>
      <c r="H70" t="str">
        <f>IF(ISERROR(VLOOKUP($A70&amp;"-"&amp;H$1,Tabelle1!$H$2:$H$257,1,FALSE)),"","X")</f>
        <v/>
      </c>
      <c r="I70" t="str">
        <f>IF(ISERROR(VLOOKUP($A70&amp;"-"&amp;I$1,Tabelle1!$H$2:$H$257,1,FALSE)),"","X")</f>
        <v/>
      </c>
      <c r="J70" t="str">
        <f>IF(ISERROR(VLOOKUP($A70&amp;"-"&amp;J$1,Tabelle1!$H$2:$H$257,1,FALSE)),"","X")</f>
        <v/>
      </c>
      <c r="K70" t="str">
        <f>IF(ISERROR(VLOOKUP($A70&amp;"-"&amp;K$1,Tabelle1!$H$2:$H$257,1,FALSE)),"","X")</f>
        <v/>
      </c>
      <c r="L70" t="str">
        <f>IF(ISERROR(VLOOKUP($A70&amp;"-"&amp;L$1,Tabelle1!$H$2:$H$257,1,FALSE)),"","X")</f>
        <v/>
      </c>
      <c r="M70" t="str">
        <f>IF(ISERROR(VLOOKUP($A70&amp;"-"&amp;M$1,Tabelle1!$H$2:$H$257,1,FALSE)),"","X")</f>
        <v/>
      </c>
      <c r="N70" t="str">
        <f>IF(ISERROR(VLOOKUP($A70&amp;"-"&amp;N$1,Tabelle1!$H$2:$H$257,1,FALSE)),"","X")</f>
        <v/>
      </c>
      <c r="O70" t="str">
        <f>IF(ISERROR(VLOOKUP($A70&amp;"-"&amp;O$1,Tabelle1!$H$2:$H$257,1,FALSE)),"","X")</f>
        <v/>
      </c>
      <c r="P70" t="str">
        <f>IF(ISERROR(VLOOKUP($A70&amp;"-"&amp;P$1,Tabelle1!$H$2:$H$257,1,FALSE)),"","X")</f>
        <v/>
      </c>
    </row>
    <row r="71" spans="1:16" hidden="1">
      <c r="A71" s="1" t="s">
        <v>86</v>
      </c>
      <c r="B71" s="2" t="str">
        <f>VLOOKUP(A71,Tabelle1!$E$2:$G$257,3,FALSE)</f>
        <v>illegal</v>
      </c>
      <c r="C71" t="str">
        <f>IF(ISERROR(VLOOKUP($A71&amp;"-"&amp;C$1,Tabelle1!$H$2:$H$257,1,FALSE)),"","X")</f>
        <v>X</v>
      </c>
      <c r="D71" t="str">
        <f>IF(ISERROR(VLOOKUP($A71&amp;"-"&amp;D$1,Tabelle1!$H$2:$H$257,1,FALSE)),"","X")</f>
        <v/>
      </c>
      <c r="E71" t="str">
        <f>IF(ISERROR(VLOOKUP($A71&amp;"-"&amp;E$1,Tabelle1!$H$2:$H$257,1,FALSE)),"","X")</f>
        <v/>
      </c>
      <c r="F71" t="str">
        <f>IF(ISERROR(VLOOKUP($A71&amp;"-"&amp;F$1,Tabelle1!$H$2:$H$257,1,FALSE)),"","X")</f>
        <v/>
      </c>
      <c r="G71" t="str">
        <f>IF(ISERROR(VLOOKUP($A71&amp;"-"&amp;G$1,Tabelle1!$H$2:$H$257,1,FALSE)),"","X")</f>
        <v/>
      </c>
      <c r="H71" t="str">
        <f>IF(ISERROR(VLOOKUP($A71&amp;"-"&amp;H$1,Tabelle1!$H$2:$H$257,1,FALSE)),"","X")</f>
        <v/>
      </c>
      <c r="I71" t="str">
        <f>IF(ISERROR(VLOOKUP($A71&amp;"-"&amp;I$1,Tabelle1!$H$2:$H$257,1,FALSE)),"","X")</f>
        <v/>
      </c>
      <c r="J71" t="str">
        <f>IF(ISERROR(VLOOKUP($A71&amp;"-"&amp;J$1,Tabelle1!$H$2:$H$257,1,FALSE)),"","X")</f>
        <v/>
      </c>
      <c r="K71" t="str">
        <f>IF(ISERROR(VLOOKUP($A71&amp;"-"&amp;K$1,Tabelle1!$H$2:$H$257,1,FALSE)),"","X")</f>
        <v/>
      </c>
      <c r="L71" t="str">
        <f>IF(ISERROR(VLOOKUP($A71&amp;"-"&amp;L$1,Tabelle1!$H$2:$H$257,1,FALSE)),"","X")</f>
        <v/>
      </c>
      <c r="M71" t="str">
        <f>IF(ISERROR(VLOOKUP($A71&amp;"-"&amp;M$1,Tabelle1!$H$2:$H$257,1,FALSE)),"","X")</f>
        <v/>
      </c>
      <c r="N71" t="str">
        <f>IF(ISERROR(VLOOKUP($A71&amp;"-"&amp;N$1,Tabelle1!$H$2:$H$257,1,FALSE)),"","X")</f>
        <v/>
      </c>
      <c r="O71" t="str">
        <f>IF(ISERROR(VLOOKUP($A71&amp;"-"&amp;O$1,Tabelle1!$H$2:$H$257,1,FALSE)),"","X")</f>
        <v/>
      </c>
      <c r="P71" t="str">
        <f>IF(ISERROR(VLOOKUP($A71&amp;"-"&amp;P$1,Tabelle1!$H$2:$H$257,1,FALSE)),"","X")</f>
        <v/>
      </c>
    </row>
  </sheetData>
  <autoFilter ref="A1:P71">
    <filterColumn colId="1">
      <filters>
        <filter val="regulär"/>
      </filters>
    </filterColumn>
  </autoFilter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3:A58"/>
  <sheetViews>
    <sheetView topLeftCell="A8" workbookViewId="0">
      <selection activeCell="A45" sqref="A45:A58"/>
    </sheetView>
  </sheetViews>
  <sheetFormatPr baseColWidth="10" defaultRowHeight="14.25"/>
  <sheetData>
    <row r="3" spans="1:1">
      <c r="A3" t="s">
        <v>87</v>
      </c>
    </row>
    <row r="4" spans="1:1">
      <c r="A4" t="s">
        <v>88</v>
      </c>
    </row>
    <row r="5" spans="1:1">
      <c r="A5" t="s">
        <v>89</v>
      </c>
    </row>
    <row r="6" spans="1:1">
      <c r="A6" t="s">
        <v>90</v>
      </c>
    </row>
    <row r="7" spans="1:1">
      <c r="A7" t="s">
        <v>91</v>
      </c>
    </row>
    <row r="8" spans="1:1">
      <c r="A8" t="s">
        <v>92</v>
      </c>
    </row>
    <row r="9" spans="1:1">
      <c r="A9" t="s">
        <v>93</v>
      </c>
    </row>
    <row r="10" spans="1:1">
      <c r="A10" t="s">
        <v>94</v>
      </c>
    </row>
    <row r="11" spans="1:1">
      <c r="A11" t="s">
        <v>95</v>
      </c>
    </row>
    <row r="12" spans="1:1">
      <c r="A12" t="s">
        <v>96</v>
      </c>
    </row>
    <row r="13" spans="1:1">
      <c r="A13" t="s">
        <v>97</v>
      </c>
    </row>
    <row r="14" spans="1:1">
      <c r="A14" t="s">
        <v>98</v>
      </c>
    </row>
    <row r="15" spans="1:1">
      <c r="A15" t="s">
        <v>99</v>
      </c>
    </row>
    <row r="16" spans="1:1">
      <c r="A16" t="s">
        <v>100</v>
      </c>
    </row>
    <row r="17" spans="1:1">
      <c r="A17" t="s">
        <v>101</v>
      </c>
    </row>
    <row r="18" spans="1:1">
      <c r="A18" t="s">
        <v>102</v>
      </c>
    </row>
    <row r="19" spans="1:1">
      <c r="A19" t="s">
        <v>103</v>
      </c>
    </row>
    <row r="20" spans="1:1">
      <c r="A20" t="s">
        <v>104</v>
      </c>
    </row>
    <row r="21" spans="1:1">
      <c r="A21" t="s">
        <v>105</v>
      </c>
    </row>
    <row r="22" spans="1:1">
      <c r="A22" t="s">
        <v>106</v>
      </c>
    </row>
    <row r="23" spans="1:1">
      <c r="A23" t="s">
        <v>107</v>
      </c>
    </row>
    <row r="24" spans="1:1">
      <c r="A24" t="s">
        <v>108</v>
      </c>
    </row>
    <row r="25" spans="1:1">
      <c r="A25" t="s">
        <v>109</v>
      </c>
    </row>
    <row r="26" spans="1:1">
      <c r="A26" t="s">
        <v>110</v>
      </c>
    </row>
    <row r="27" spans="1:1">
      <c r="A27" t="s">
        <v>111</v>
      </c>
    </row>
    <row r="28" spans="1:1">
      <c r="A28" t="s">
        <v>112</v>
      </c>
    </row>
    <row r="29" spans="1:1">
      <c r="A29" t="s">
        <v>113</v>
      </c>
    </row>
    <row r="30" spans="1:1">
      <c r="A30" t="s">
        <v>114</v>
      </c>
    </row>
    <row r="31" spans="1:1">
      <c r="A31" t="s">
        <v>115</v>
      </c>
    </row>
    <row r="32" spans="1:1">
      <c r="A32" t="s">
        <v>116</v>
      </c>
    </row>
    <row r="33" spans="1:1">
      <c r="A33" t="s">
        <v>117</v>
      </c>
    </row>
    <row r="34" spans="1:1">
      <c r="A34" t="s">
        <v>118</v>
      </c>
    </row>
    <row r="35" spans="1:1">
      <c r="A35" t="s">
        <v>119</v>
      </c>
    </row>
    <row r="36" spans="1:1">
      <c r="A36" t="s">
        <v>120</v>
      </c>
    </row>
    <row r="37" spans="1:1">
      <c r="A37" t="s">
        <v>121</v>
      </c>
    </row>
    <row r="38" spans="1:1">
      <c r="A38" t="s">
        <v>122</v>
      </c>
    </row>
    <row r="39" spans="1:1">
      <c r="A39" t="s">
        <v>123</v>
      </c>
    </row>
    <row r="40" spans="1:1">
      <c r="A40" t="s">
        <v>124</v>
      </c>
    </row>
    <row r="41" spans="1:1">
      <c r="A41" t="s">
        <v>125</v>
      </c>
    </row>
    <row r="42" spans="1:1">
      <c r="A42" t="s">
        <v>126</v>
      </c>
    </row>
    <row r="43" spans="1:1">
      <c r="A43" t="s">
        <v>127</v>
      </c>
    </row>
    <row r="44" spans="1:1">
      <c r="A44" t="s">
        <v>128</v>
      </c>
    </row>
    <row r="45" spans="1:1">
      <c r="A45" t="s">
        <v>129</v>
      </c>
    </row>
    <row r="46" spans="1:1">
      <c r="A46" t="s">
        <v>130</v>
      </c>
    </row>
    <row r="47" spans="1:1">
      <c r="A47" t="s">
        <v>131</v>
      </c>
    </row>
    <row r="48" spans="1:1">
      <c r="A48" t="s">
        <v>132</v>
      </c>
    </row>
    <row r="49" spans="1:1">
      <c r="A49" t="s">
        <v>133</v>
      </c>
    </row>
    <row r="50" spans="1:1">
      <c r="A50" t="s">
        <v>134</v>
      </c>
    </row>
    <row r="51" spans="1:1">
      <c r="A51" t="s">
        <v>135</v>
      </c>
    </row>
    <row r="52" spans="1:1">
      <c r="A52" t="s">
        <v>136</v>
      </c>
    </row>
    <row r="53" spans="1:1">
      <c r="A53" t="s">
        <v>137</v>
      </c>
    </row>
    <row r="54" spans="1:1">
      <c r="A54" t="s">
        <v>138</v>
      </c>
    </row>
    <row r="55" spans="1:1">
      <c r="A55" t="s">
        <v>139</v>
      </c>
    </row>
    <row r="56" spans="1:1">
      <c r="A56" t="s">
        <v>140</v>
      </c>
    </row>
    <row r="57" spans="1:1">
      <c r="A57" t="s">
        <v>141</v>
      </c>
    </row>
    <row r="58" spans="1:1">
      <c r="A58" t="s">
        <v>142</v>
      </c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Inst</vt:lpstr>
      <vt:lpstr>Tabelle3</vt:lpstr>
    </vt:vector>
  </TitlesOfParts>
  <Company>Hamburger Stadtentwässerung AöR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duemmelm</dc:creator>
  <cp:lastModifiedBy>duemmelm</cp:lastModifiedBy>
  <dcterms:created xsi:type="dcterms:W3CDTF">2014-01-29T11:30:23Z</dcterms:created>
  <dcterms:modified xsi:type="dcterms:W3CDTF">2014-01-30T07:47:01Z</dcterms:modified>
</cp:coreProperties>
</file>